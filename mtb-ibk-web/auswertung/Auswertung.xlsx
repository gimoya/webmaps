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6" windowWidth="4644" windowHeight="5856" activeTab="5"/>
  </bookViews>
  <sheets>
    <sheet name="Klassen" sheetId="7" r:id="rId1"/>
    <sheet name="Schwierigkeit" sheetId="1" r:id="rId2"/>
    <sheet name="MTB-Frequenz" sheetId="2" r:id="rId3"/>
    <sheet name="Fussgeher-Frequenz" sheetId="3" r:id="rId4"/>
    <sheet name="Gefahrenstellen" sheetId="4" r:id="rId5"/>
    <sheet name="Bodenerosion" sheetId="5" r:id="rId6"/>
    <sheet name="Weglängen nach Klasse" sheetId="6" r:id="rId7"/>
  </sheets>
  <calcPr calcId="144525"/>
</workbook>
</file>

<file path=xl/calcChain.xml><?xml version="1.0" encoding="utf-8"?>
<calcChain xmlns="http://schemas.openxmlformats.org/spreadsheetml/2006/main">
  <c r="B25" i="6" l="1"/>
  <c r="B18" i="6"/>
  <c r="B6" i="6"/>
  <c r="B12" i="6"/>
  <c r="C153" i="4"/>
  <c r="B153" i="4"/>
  <c r="D153" i="4" s="1"/>
  <c r="E153" i="1"/>
  <c r="E153" i="2"/>
  <c r="B153" i="5"/>
  <c r="C153" i="1"/>
  <c r="D153" i="1"/>
  <c r="B153" i="1"/>
  <c r="D153" i="2"/>
  <c r="C153" i="2"/>
  <c r="B153" i="2"/>
  <c r="D153" i="3"/>
  <c r="C153" i="3"/>
  <c r="B153" i="3"/>
  <c r="E153" i="3" s="1"/>
  <c r="C153" i="5"/>
  <c r="D153" i="5"/>
  <c r="E153" i="5"/>
</calcChain>
</file>

<file path=xl/sharedStrings.xml><?xml version="1.0" encoding="utf-8"?>
<sst xmlns="http://schemas.openxmlformats.org/spreadsheetml/2006/main" count="839" uniqueCount="190">
  <si>
    <t>Schwierigkeit</t>
  </si>
  <si>
    <t>Achselwaldsteig</t>
  </si>
  <si>
    <t>Adelshofsteig</t>
  </si>
  <si>
    <t>Akademikersteig</t>
  </si>
  <si>
    <t>Aldranser Alm 1</t>
  </si>
  <si>
    <t>Aldranser Alm 2</t>
  </si>
  <si>
    <t>Am Oberen Berg 1</t>
  </si>
  <si>
    <t>Am Oberen Berg 2</t>
  </si>
  <si>
    <t>Am oberen Berg 3</t>
  </si>
  <si>
    <t>Astenweg bis Speckbacherweg</t>
  </si>
  <si>
    <t>Badhausstr. oberer Teil</t>
  </si>
  <si>
    <t>Badhausstr. untere Teil</t>
  </si>
  <si>
    <t>Baerfallweg bis Planoetzenhof</t>
  </si>
  <si>
    <t>Bederlungerweg - Tram Haltestellte Aldrans</t>
  </si>
  <si>
    <t>Bederlungerweg bis Innsbruck Mitte</t>
  </si>
  <si>
    <t>Bederlungerweg bis Tummelplatzweg</t>
  </si>
  <si>
    <t>Birgitz Nasses Tal</t>
  </si>
  <si>
    <t>Canusiusweg</t>
  </si>
  <si>
    <t>Deponie Lanser Kapelle</t>
  </si>
  <si>
    <t>Dorfbachl Gigglberg</t>
  </si>
  <si>
    <t>Ebenwald</t>
  </si>
  <si>
    <t>Edenhausen</t>
  </si>
  <si>
    <t>Ehem. Igler Alm</t>
  </si>
  <si>
    <t>Eichhof</t>
  </si>
  <si>
    <t>Einfang</t>
  </si>
  <si>
    <t>Enzian Huette Mitte</t>
  </si>
  <si>
    <t>Enzian Huette Variante</t>
  </si>
  <si>
    <t>Enzian Huette unten</t>
  </si>
  <si>
    <t>Fallbach</t>
  </si>
  <si>
    <t>Fuchsloch</t>
  </si>
  <si>
    <t>Garzanhof</t>
  </si>
  <si>
    <t>Gasperlsteig</t>
  </si>
  <si>
    <t>Geroldsbach</t>
  </si>
  <si>
    <t>Gletschermuehle</t>
  </si>
  <si>
    <t>Goldbichl</t>
  </si>
  <si>
    <t>Golfplatz Rundweg</t>
  </si>
  <si>
    <t>Grafenhof</t>
  </si>
  <si>
    <t>Groebental</t>
  </si>
  <si>
    <t>Heiligwasserweg</t>
  </si>
  <si>
    <t xml:space="preserve">Heilquelle Mutters </t>
  </si>
  <si>
    <t>Herrensteig</t>
  </si>
  <si>
    <t>Herzogsteig</t>
  </si>
  <si>
    <t>Herztal 1</t>
  </si>
  <si>
    <t>Herztal 2</t>
  </si>
  <si>
    <t>Hochegg 1</t>
  </si>
  <si>
    <t>Hochegg 2</t>
  </si>
  <si>
    <t>Hochegg 3</t>
  </si>
  <si>
    <t>Hochegg 4</t>
  </si>
  <si>
    <t>Hochegg 5</t>
  </si>
  <si>
    <t>Hochegg 6</t>
  </si>
  <si>
    <t>Hochegg 7</t>
  </si>
  <si>
    <t>Hoettinger Bild</t>
  </si>
  <si>
    <t>Hoettinger Bild Variante</t>
  </si>
  <si>
    <t>Hoettinger Schießstand</t>
  </si>
  <si>
    <t>Hofwald Spitzkehren</t>
  </si>
  <si>
    <t>Hohlweg Oberer Gang</t>
  </si>
  <si>
    <t xml:space="preserve">Igler Serlesschrofen </t>
  </si>
  <si>
    <t>Johannes- bis Heiligwasserweg</t>
  </si>
  <si>
    <t>Johannesweg</t>
  </si>
  <si>
    <t>Judenstein</t>
  </si>
  <si>
    <t>Kellersteig</t>
  </si>
  <si>
    <t>Kienberg Hang</t>
  </si>
  <si>
    <t>Kienberg Ruecken</t>
  </si>
  <si>
    <t>Kircheltal</t>
  </si>
  <si>
    <t>Koegelesteig</t>
  </si>
  <si>
    <t>Kristen Steig</t>
  </si>
  <si>
    <t>Lampls bis Sistranser-Almweg</t>
  </si>
  <si>
    <t>Lamplsboden</t>
  </si>
  <si>
    <t>Lans Golfplatz bis Bederlungerweg</t>
  </si>
  <si>
    <t>Lanser Alm Ochsensteig</t>
  </si>
  <si>
    <t>Lanser Kapelle bis Golfplatz</t>
  </si>
  <si>
    <t>Lanser Kopf Rosenweiher</t>
  </si>
  <si>
    <t>Lanser Steig bis Tantegert</t>
  </si>
  <si>
    <t>Mentelberg Ost 2</t>
  </si>
  <si>
    <t>Mentelwerg Ost Traverse</t>
  </si>
  <si>
    <t>Mentlberg Ost 1</t>
  </si>
  <si>
    <t>Mentlberg Sued</t>
  </si>
  <si>
    <t>Mentlberg Traverse West</t>
  </si>
  <si>
    <t>Mentlberg West 1</t>
  </si>
  <si>
    <t>Mentlberg West 2</t>
  </si>
  <si>
    <t>Mentlberg West 3</t>
  </si>
  <si>
    <t>Mentlberg West Hauptlinie</t>
  </si>
  <si>
    <t>Mentlberg West Uphill</t>
  </si>
  <si>
    <t>Minzsteig</t>
  </si>
  <si>
    <t>Natterer See</t>
  </si>
  <si>
    <t>Nisslsteig Kollnerweg Verbindung</t>
  </si>
  <si>
    <t>Nisslsteig bis Gramartstr.</t>
  </si>
  <si>
    <t>Nisslsteig unterer Teil</t>
  </si>
  <si>
    <t>Oberer Gang Weg bis Tantegert</t>
  </si>
  <si>
    <t>Oberer Gang bis Bederlungerweg</t>
  </si>
  <si>
    <t>Oberer Gang bis Bederlungerweg Variante</t>
  </si>
  <si>
    <t>Ochsensteig Variante 1</t>
  </si>
  <si>
    <t>Ochsensteig Variante 2</t>
  </si>
  <si>
    <t>Ochsensteig Variante 3</t>
  </si>
  <si>
    <t>Ochsensteig Variante 4</t>
  </si>
  <si>
    <t>Ochsensteig Variante 5</t>
  </si>
  <si>
    <t>Ochsensteig unterer Teil</t>
  </si>
  <si>
    <t>Ochsner</t>
  </si>
  <si>
    <t>Patscher Alm mittlere Teil</t>
  </si>
  <si>
    <t>Patscher Alm obere Teil</t>
  </si>
  <si>
    <t>Patscher Alm untere Teil</t>
  </si>
  <si>
    <t>Patscher Speckbacherweg</t>
  </si>
  <si>
    <t>Pfarrtal</t>
  </si>
  <si>
    <t>Plumes</t>
  </si>
  <si>
    <t>Plumes bis Sonnenbrugerhof</t>
  </si>
  <si>
    <t>Poltenweg bis Bretterkeller</t>
  </si>
  <si>
    <t>Prockenhoefe</t>
  </si>
  <si>
    <t>Rauschbrunnen Baerfall</t>
  </si>
  <si>
    <t>Rinner Alm</t>
  </si>
  <si>
    <t>Rosskopf bis Vintl Alm</t>
  </si>
  <si>
    <t>Rumer Alm Rechenhof</t>
  </si>
  <si>
    <t>Rumer Alm Variante</t>
  </si>
  <si>
    <t>Rumer Alm Variante 2</t>
  </si>
  <si>
    <t>Rumer Alm Variante 3</t>
  </si>
  <si>
    <t>Rumer Alm bis Enzian Huette</t>
  </si>
  <si>
    <t>Runstboden obere Teil</t>
  </si>
  <si>
    <t>Runstboden untere Teil</t>
  </si>
  <si>
    <t>Schloss Mentelberg</t>
  </si>
  <si>
    <t>Sillschlucht</t>
  </si>
  <si>
    <t>Sistranser-Alm- bis Astenweg</t>
  </si>
  <si>
    <t>Speckbacher- bis Aldranser Almweg</t>
  </si>
  <si>
    <t>Speckbacherweg bis Wiesenhoefe</t>
  </si>
  <si>
    <t>Stadtwald</t>
  </si>
  <si>
    <t>Stangensteig Ost</t>
  </si>
  <si>
    <t>Stangensteig West</t>
  </si>
  <si>
    <t>Steig bei Rumer Mure</t>
  </si>
  <si>
    <t>Steig unterhalb Enzian Huette</t>
  </si>
  <si>
    <t>Steinbruch unterhalb Tummelplatzweg</t>
  </si>
  <si>
    <t>Thaurer Schloss</t>
  </si>
  <si>
    <t>Thaurer Vorberg</t>
  </si>
  <si>
    <t>Tierheim</t>
  </si>
  <si>
    <t>Ullwald</t>
  </si>
  <si>
    <t>Usterberg bis Walderkapelle</t>
  </si>
  <si>
    <t>Usterberg obere Teil</t>
  </si>
  <si>
    <t>Usterberg untere Teil</t>
  </si>
  <si>
    <t>Viller Kopf Variante</t>
  </si>
  <si>
    <t>Viller Kopf bis Poltenweg</t>
  </si>
  <si>
    <t>Vintl Alm bis Rumer Alm</t>
  </si>
  <si>
    <t>Walderkapelle untere Teil</t>
  </si>
  <si>
    <t>Wendelinsteig</t>
  </si>
  <si>
    <t>Zimmertal</t>
  </si>
  <si>
    <t>Zoller Steig</t>
  </si>
  <si>
    <t>Zufahrt Wendelinsteig</t>
  </si>
  <si>
    <t>Zwickenaste</t>
  </si>
  <si>
    <t>Ölberg</t>
  </si>
  <si>
    <t>MTB Freq.</t>
  </si>
  <si>
    <t>Fussgeher Freq.</t>
  </si>
  <si>
    <t>Gefahrenstellen</t>
  </si>
  <si>
    <t>Bodenerosion</t>
  </si>
  <si>
    <t>Summe</t>
  </si>
  <si>
    <t>Klasse 1</t>
  </si>
  <si>
    <t>Klasse 2</t>
  </si>
  <si>
    <t>Klasse 3</t>
  </si>
  <si>
    <t>1-selten</t>
  </si>
  <si>
    <t>2-häufig</t>
  </si>
  <si>
    <t>3-sehr häufig</t>
  </si>
  <si>
    <t>Klasse-4</t>
  </si>
  <si>
    <t>ja</t>
  </si>
  <si>
    <t>nein</t>
  </si>
  <si>
    <t>Blasiussteig</t>
  </si>
  <si>
    <t>Lanser Kopf Nord</t>
  </si>
  <si>
    <t>Lanser Steig Abschneider</t>
  </si>
  <si>
    <t>Mittersteig</t>
  </si>
  <si>
    <t>Oberer Gang bis Tummelplatzweg</t>
  </si>
  <si>
    <t>Poletenhütte</t>
  </si>
  <si>
    <t>Länge (km)</t>
  </si>
  <si>
    <t>MTB Frequenz</t>
  </si>
  <si>
    <t>Fussgänger Frequenz</t>
  </si>
  <si>
    <t>Klasse 4</t>
  </si>
  <si>
    <t>Achselkopfsteig</t>
  </si>
  <si>
    <t>Leicht für jeden sportlichen Mountainbiker zu befahren - ohne fahrtechnisch schwierige Hindernisse</t>
  </si>
  <si>
    <t>Nur von geübten Mountainbikern zu bewältigen - zT. mit fahrtechnisch schwierigen Hindernissen (höhere Stufen, Engstellen, Steilabschnitte, Spitzkehren, etc.)</t>
  </si>
  <si>
    <t>Erläuterung</t>
  </si>
  <si>
    <t>selten - einige (1 bis 10) Fahrten pro Wochen</t>
  </si>
  <si>
    <t>selten - einige Wanderer pro Wochen</t>
  </si>
  <si>
    <t>Erosion durch MTB-Befahrung geringfügig (nur an der stellenweise erodierten Streuauflage erkennbar)</t>
  </si>
  <si>
    <t>Erosion durch MTB-Befahrung mittel (Streuauflage regelmäßig erodiert und A-Horizont stellenweise oberflächig betroffen)</t>
  </si>
  <si>
    <t>Erosion durch MTB-Befahrung stark (Streuauflage und A-Horizont oberflächig regelmäßig erodiert)</t>
  </si>
  <si>
    <t>Erosion durch MTB-Befahrung sehr stark (Streuauflage und A-Horizont bis in tiefer Schichten regelmäßig erodiert)</t>
  </si>
  <si>
    <t>Nur von sehr geübten Mountainbikern zu bewältigen - zT. mit fahrtechnisch sehr anspruchsvollen Hindernissen (bis zu hüfthohe Stufen, längere Steilabschnitten, verblocktes Gelände, sehr enge Spitzkehren, exponierter Wegabschnitte mit gefährlichem Sturzraum, etc.)</t>
  </si>
  <si>
    <t>häufig - einige (1 bis 10) Fahrten pro Tag</t>
  </si>
  <si>
    <t>sehr häufig - viele (11 bis 100) Fahrten pro Tag</t>
  </si>
  <si>
    <t>häufig - einige Wanderer pro Tag</t>
  </si>
  <si>
    <t>sehr häufig - viele Wanderer pro Tag</t>
  </si>
  <si>
    <t>1 - leicht</t>
  </si>
  <si>
    <t>2 - mittel</t>
  </si>
  <si>
    <t>3 - schwierig</t>
  </si>
  <si>
    <t>1-geringfügig</t>
  </si>
  <si>
    <t>2-mittel</t>
  </si>
  <si>
    <t>3-stark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</si>
</sst>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 Nova Light"/>
      <family val="2"/>
    </font>
    <font>
      <b/>
      <sz val="11"/>
      <color theme="1"/>
      <name val="Arial Nova Light"/>
      <family val="2"/>
    </font>
    <font>
      <sz val="11"/>
      <color theme="1" tint="0.499984740745262"/>
      <name val="Arial Nova Ligh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165" fontId="1" fillId="0" borderId="0" xfId="0" applyNumberFormat="1" applyFont="1"/>
    <xf numFmtId="164" fontId="1" fillId="0" borderId="0" xfId="0" applyNumberFormat="1" applyFont="1"/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3" xfId="0" applyFont="1" applyBorder="1"/>
    <xf numFmtId="0" fontId="1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46"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  <numFmt numFmtId="165" formatCode="0.0"/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  <numFmt numFmtId="164" formatCode="#,##0.0"/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  <numFmt numFmtId="165" formatCode="0.0"/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  <numFmt numFmtId="164" formatCode="#,##0.0"/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name val="Arial Nova Light"/>
        <scheme val="none"/>
      </font>
    </dxf>
    <dxf>
      <font>
        <strike val="0"/>
        <outline val="0"/>
        <shadow val="0"/>
        <u val="none"/>
        <vertAlign val="baseline"/>
        <sz val="11"/>
        <name val="Arial Nova Light"/>
        <scheme val="none"/>
      </font>
    </dxf>
  </dxfs>
  <tableStyles count="0" defaultTableStyle="TableStyleMedium2" defaultPivotStyle="PivotStyleLight16"/>
  <colors>
    <mruColors>
      <color rgb="FFFF9797"/>
      <color rgb="FFFF434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A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>
                <a:latin typeface="Arial Nova Light" panose="020B0304020202020204" pitchFamily="34" charset="0"/>
              </a:rPr>
              <a:t>Trail</a:t>
            </a:r>
            <a:r>
              <a:rPr lang="de-AT" baseline="0">
                <a:latin typeface="Arial Nova Light" panose="020B0304020202020204" pitchFamily="34" charset="0"/>
              </a:rPr>
              <a:t> S</a:t>
            </a:r>
            <a:r>
              <a:rPr lang="de-AT">
                <a:latin typeface="Arial Nova Light" panose="020B0304020202020204" pitchFamily="34" charset="0"/>
              </a:rPr>
              <a:t>chwierigkeitsgrade N=151</a:t>
            </a:r>
          </a:p>
        </c:rich>
      </c:tx>
      <c:layout>
        <c:manualLayout>
          <c:xMode val="edge"/>
          <c:yMode val="edge"/>
          <c:x val="0.13016748890640639"/>
          <c:y val="3.77302260848517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54212613187131"/>
          <c:y val="0.18610410231870186"/>
          <c:w val="0.57790167961288308"/>
          <c:h val="0.7096057916793551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</c:dPt>
          <c:dPt>
            <c:idx val="1"/>
            <c:bubble3D val="0"/>
            <c:spPr>
              <a:solidFill>
                <a:srgbClr val="00B0F0"/>
              </a:solidFill>
            </c:spPr>
          </c:dPt>
          <c:dPt>
            <c:idx val="2"/>
            <c:bubble3D val="0"/>
            <c:spPr>
              <a:solidFill>
                <a:srgbClr val="FF4343"/>
              </a:solidFill>
            </c:spPr>
          </c:dPt>
          <c:dLbls>
            <c:spPr>
              <a:noFill/>
            </c:spPr>
            <c:txPr>
              <a:bodyPr/>
              <a:lstStyle/>
              <a:p>
                <a:pPr>
                  <a:defRPr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 Light" panose="020B0304020202020204" pitchFamily="34" charset="0"/>
                  </a:defRPr>
                </a:pPr>
                <a:endParaRPr lang="de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Schwierigkeit!$B$1:$D$1</c:f>
              <c:strCache>
                <c:ptCount val="3"/>
                <c:pt idx="0">
                  <c:v>1 - leicht</c:v>
                </c:pt>
                <c:pt idx="1">
                  <c:v>2 - mittel</c:v>
                </c:pt>
                <c:pt idx="2">
                  <c:v>3 - schwierig</c:v>
                </c:pt>
              </c:strCache>
            </c:strRef>
          </c:cat>
          <c:val>
            <c:numRef>
              <c:f>Schwierigkeit!$B$153:$D$153</c:f>
              <c:numCache>
                <c:formatCode>General</c:formatCode>
                <c:ptCount val="3"/>
                <c:pt idx="0">
                  <c:v>63</c:v>
                </c:pt>
                <c:pt idx="1">
                  <c:v>65</c:v>
                </c:pt>
                <c:pt idx="2">
                  <c:v>23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A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>
                <a:latin typeface="Arial Nova Light" panose="020B0304020202020204" pitchFamily="34" charset="0"/>
              </a:rPr>
              <a:t>MTB-Frequenz auf Trails</a:t>
            </a:r>
          </a:p>
          <a:p>
            <a:pPr>
              <a:defRPr/>
            </a:pPr>
            <a:r>
              <a:rPr lang="de-AT">
                <a:latin typeface="Arial Nova Light" panose="020B0304020202020204" pitchFamily="34" charset="0"/>
              </a:rPr>
              <a:t>N=151</a:t>
            </a:r>
          </a:p>
        </c:rich>
      </c:tx>
      <c:layout>
        <c:manualLayout>
          <c:xMode val="edge"/>
          <c:yMode val="edge"/>
          <c:x val="0.14128233970753656"/>
          <c:y val="3.77302260848517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54212613187131"/>
          <c:y val="0.18610410231870186"/>
          <c:w val="0.57790167961288308"/>
          <c:h val="0.7096057916793551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</c:dPt>
          <c:dPt>
            <c:idx val="1"/>
            <c:bubble3D val="0"/>
            <c:spPr>
              <a:solidFill>
                <a:srgbClr val="00B0F0"/>
              </a:solidFill>
            </c:spPr>
          </c:dPt>
          <c:dPt>
            <c:idx val="2"/>
            <c:bubble3D val="0"/>
            <c:spPr>
              <a:solidFill>
                <a:srgbClr val="FF4343"/>
              </a:solidFill>
            </c:spPr>
          </c:dPt>
          <c:dLbls>
            <c:spPr>
              <a:noFill/>
            </c:spPr>
            <c:txPr>
              <a:bodyPr/>
              <a:lstStyle/>
              <a:p>
                <a:pPr>
                  <a:defRPr sz="10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 Light" panose="020B0304020202020204" pitchFamily="34" charset="0"/>
                  </a:defRPr>
                </a:pPr>
                <a:endParaRPr lang="de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'MTB-Frequenz'!$B$1:$D$1</c:f>
              <c:strCache>
                <c:ptCount val="3"/>
                <c:pt idx="0">
                  <c:v>1-selten</c:v>
                </c:pt>
                <c:pt idx="1">
                  <c:v>2-häufig</c:v>
                </c:pt>
                <c:pt idx="2">
                  <c:v>3-sehr häufig</c:v>
                </c:pt>
              </c:strCache>
            </c:strRef>
          </c:cat>
          <c:val>
            <c:numRef>
              <c:f>'MTB-Frequenz'!$B$153:$D$153</c:f>
              <c:numCache>
                <c:formatCode>General</c:formatCode>
                <c:ptCount val="3"/>
                <c:pt idx="0">
                  <c:v>65</c:v>
                </c:pt>
                <c:pt idx="1">
                  <c:v>54</c:v>
                </c:pt>
                <c:pt idx="2">
                  <c:v>32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A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>
                <a:latin typeface="Arial Nova Light" panose="020B0304020202020204" pitchFamily="34" charset="0"/>
              </a:rPr>
              <a:t>Fussgeher</a:t>
            </a:r>
            <a:r>
              <a:rPr lang="de-AT" baseline="0">
                <a:latin typeface="Arial Nova Light" panose="020B0304020202020204" pitchFamily="34" charset="0"/>
              </a:rPr>
              <a:t> </a:t>
            </a:r>
            <a:r>
              <a:rPr lang="de-AT">
                <a:latin typeface="Arial Nova Light" panose="020B0304020202020204" pitchFamily="34" charset="0"/>
              </a:rPr>
              <a:t>auf Trails (N=151)</a:t>
            </a:r>
          </a:p>
        </c:rich>
      </c:tx>
      <c:layout>
        <c:manualLayout>
          <c:xMode val="edge"/>
          <c:yMode val="edge"/>
          <c:x val="0.21265717769530776"/>
          <c:y val="4.233436958708691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54212613187131"/>
          <c:y val="0.18610410231870186"/>
          <c:w val="0.57790167961288308"/>
          <c:h val="0.7096057916793551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</c:dPt>
          <c:dPt>
            <c:idx val="1"/>
            <c:bubble3D val="0"/>
            <c:spPr>
              <a:solidFill>
                <a:srgbClr val="00B0F0"/>
              </a:solidFill>
            </c:spPr>
          </c:dPt>
          <c:dPt>
            <c:idx val="2"/>
            <c:bubble3D val="0"/>
            <c:spPr>
              <a:solidFill>
                <a:srgbClr val="FF4343"/>
              </a:solidFill>
            </c:spPr>
          </c:dPt>
          <c:dLbls>
            <c:spPr>
              <a:noFill/>
            </c:spPr>
            <c:txPr>
              <a:bodyPr/>
              <a:lstStyle/>
              <a:p>
                <a:pPr>
                  <a:defRPr sz="10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 Light" panose="020B0304020202020204" pitchFamily="34" charset="0"/>
                  </a:defRPr>
                </a:pPr>
                <a:endParaRPr lang="de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'Fussgeher-Frequenz'!$B$1:$D$1</c:f>
              <c:strCache>
                <c:ptCount val="3"/>
                <c:pt idx="0">
                  <c:v>1-selten</c:v>
                </c:pt>
                <c:pt idx="1">
                  <c:v>2-häufig</c:v>
                </c:pt>
                <c:pt idx="2">
                  <c:v>3-sehr häufig</c:v>
                </c:pt>
              </c:strCache>
            </c:strRef>
          </c:cat>
          <c:val>
            <c:numRef>
              <c:f>'Fussgeher-Frequenz'!$B$153:$D$153</c:f>
              <c:numCache>
                <c:formatCode>General</c:formatCode>
                <c:ptCount val="3"/>
                <c:pt idx="0">
                  <c:v>68</c:v>
                </c:pt>
                <c:pt idx="1">
                  <c:v>39</c:v>
                </c:pt>
                <c:pt idx="2">
                  <c:v>44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A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>
                <a:latin typeface="Arial Nova Light" panose="020B0304020202020204" pitchFamily="34" charset="0"/>
              </a:rPr>
              <a:t>Trails mit Gefahrenstellen (N=151)</a:t>
            </a:r>
          </a:p>
        </c:rich>
      </c:tx>
      <c:layout>
        <c:manualLayout>
          <c:xMode val="edge"/>
          <c:yMode val="edge"/>
          <c:x val="0.12200974878140232"/>
          <c:y val="1.85179302154953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54212613187131"/>
          <c:y val="0.18610410231870186"/>
          <c:w val="0.57790167961288308"/>
          <c:h val="0.70960579167935511"/>
        </c:manualLayout>
      </c:layout>
      <c:doughnutChart>
        <c:varyColors val="1"/>
        <c:ser>
          <c:idx val="0"/>
          <c:order val="0"/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FF4343"/>
              </a:solidFill>
            </c:spPr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</c:dPt>
          <c:dLbls>
            <c:spPr>
              <a:noFill/>
            </c:spPr>
            <c:txPr>
              <a:bodyPr/>
              <a:lstStyle/>
              <a:p>
                <a:pPr>
                  <a:defRPr sz="10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 Light" panose="020B0304020202020204" pitchFamily="34" charset="0"/>
                  </a:defRPr>
                </a:pPr>
                <a:endParaRPr lang="de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Gefahrenstellen!$B$1:$C$1</c:f>
              <c:strCache>
                <c:ptCount val="2"/>
                <c:pt idx="0">
                  <c:v>ja</c:v>
                </c:pt>
                <c:pt idx="1">
                  <c:v>nein</c:v>
                </c:pt>
              </c:strCache>
            </c:strRef>
          </c:cat>
          <c:val>
            <c:numRef>
              <c:f>Gefahrenstellen!$B$153:$C$153</c:f>
              <c:numCache>
                <c:formatCode>General</c:formatCode>
                <c:ptCount val="2"/>
                <c:pt idx="0">
                  <c:v>91</c:v>
                </c:pt>
                <c:pt idx="1">
                  <c:v>60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A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>
                <a:latin typeface="Arial Nova Light" panose="020B0304020202020204" pitchFamily="34" charset="0"/>
              </a:rPr>
              <a:t>Bodenerosion auf Trails (N=151)</a:t>
            </a:r>
          </a:p>
        </c:rich>
      </c:tx>
      <c:layout>
        <c:manualLayout>
          <c:xMode val="edge"/>
          <c:yMode val="edge"/>
          <c:x val="0.17064116985376829"/>
          <c:y val="3.77302260848517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54212613187131"/>
          <c:y val="0.18610410231870186"/>
          <c:w val="0.57790167961288308"/>
          <c:h val="0.70960579167935511"/>
        </c:manualLayout>
      </c:layout>
      <c:doughnutChart>
        <c:varyColors val="1"/>
        <c:ser>
          <c:idx val="0"/>
          <c:order val="0"/>
          <c:tx>
            <c:strRef>
              <c:f>Bodenerosion!$A$1</c:f>
              <c:strCache>
                <c:ptCount val="1"/>
                <c:pt idx="0">
                  <c:v>Bodenerosion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</c:spPr>
          </c:dPt>
          <c:dPt>
            <c:idx val="1"/>
            <c:bubble3D val="0"/>
            <c:spPr>
              <a:solidFill>
                <a:srgbClr val="00B0F0"/>
              </a:solidFill>
            </c:spPr>
          </c:dPt>
          <c:dPt>
            <c:idx val="2"/>
            <c:bubble3D val="0"/>
            <c:spPr>
              <a:solidFill>
                <a:srgbClr val="FF9797"/>
              </a:solidFill>
            </c:spPr>
          </c:dPt>
          <c:dPt>
            <c:idx val="3"/>
            <c:bubble3D val="0"/>
            <c:spPr>
              <a:solidFill>
                <a:srgbClr val="FF4343"/>
              </a:solidFill>
            </c:spPr>
          </c:dPt>
          <c:dLbls>
            <c:spPr>
              <a:noFill/>
            </c:spPr>
            <c:txPr>
              <a:bodyPr/>
              <a:lstStyle/>
              <a:p>
                <a:pPr>
                  <a:defRPr sz="8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 Light" panose="020B0304020202020204" pitchFamily="34" charset="0"/>
                  </a:defRPr>
                </a:pPr>
                <a:endParaRPr lang="de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Bodenerosion!$B$1:$E$1</c:f>
              <c:strCache>
                <c:ptCount val="4"/>
                <c:pt idx="0">
                  <c:v>1-geringfügig</c:v>
                </c:pt>
                <c:pt idx="1">
                  <c:v>2-mittel</c:v>
                </c:pt>
                <c:pt idx="2">
                  <c:v>3-stark</c:v>
                </c:pt>
                <c:pt idx="3">
                  <c:v>Klasse-4</c:v>
                </c:pt>
              </c:strCache>
            </c:strRef>
          </c:cat>
          <c:val>
            <c:numRef>
              <c:f>Bodenerosion!$B$153:$E$153</c:f>
              <c:numCache>
                <c:formatCode>General</c:formatCode>
                <c:ptCount val="4"/>
                <c:pt idx="0">
                  <c:v>58</c:v>
                </c:pt>
                <c:pt idx="1">
                  <c:v>60</c:v>
                </c:pt>
                <c:pt idx="2">
                  <c:v>24</c:v>
                </c:pt>
                <c:pt idx="3">
                  <c:v>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A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>
                <a:latin typeface="Arial Nova Light" panose="020B0304020202020204" pitchFamily="34" charset="0"/>
              </a:rPr>
              <a:t>Trail</a:t>
            </a:r>
            <a:r>
              <a:rPr lang="de-AT" baseline="0">
                <a:latin typeface="Arial Nova Light" panose="020B0304020202020204" pitchFamily="34" charset="0"/>
              </a:rPr>
              <a:t> S</a:t>
            </a:r>
            <a:r>
              <a:rPr lang="de-AT">
                <a:latin typeface="Arial Nova Light" panose="020B0304020202020204" pitchFamily="34" charset="0"/>
              </a:rPr>
              <a:t>chwierigkeitsgrade</a:t>
            </a:r>
          </a:p>
        </c:rich>
      </c:tx>
      <c:layout>
        <c:manualLayout>
          <c:xMode val="edge"/>
          <c:yMode val="edge"/>
          <c:x val="0.13016748890640639"/>
          <c:y val="3.77302260848517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54212613187131"/>
          <c:y val="0.18610410231870186"/>
          <c:w val="0.57790167961288308"/>
          <c:h val="0.709605791679355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'Weglängen nach Klasse'!$A$2</c:f>
              <c:strCache>
                <c:ptCount val="1"/>
                <c:pt idx="0">
                  <c:v>Schwierigkeit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1"/>
            <c:invertIfNegative val="0"/>
            <c:bubble3D val="0"/>
            <c:spPr>
              <a:solidFill>
                <a:srgbClr val="00B0F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4343"/>
              </a:solidFill>
            </c:spPr>
          </c:dPt>
          <c:cat>
            <c:strRef>
              <c:f>'Weglängen nach Klasse'!$A$3:$A$5</c:f>
              <c:strCache>
                <c:ptCount val="3"/>
                <c:pt idx="0">
                  <c:v>Klasse 1</c:v>
                </c:pt>
                <c:pt idx="1">
                  <c:v>Klasse 2</c:v>
                </c:pt>
                <c:pt idx="2">
                  <c:v>Klasse 3</c:v>
                </c:pt>
              </c:strCache>
            </c:strRef>
          </c:cat>
          <c:val>
            <c:numRef>
              <c:f>'Weglängen nach Klasse'!$B$3:$B$5</c:f>
              <c:numCache>
                <c:formatCode>0.0</c:formatCode>
                <c:ptCount val="3"/>
                <c:pt idx="0">
                  <c:v>44.161999999999999</c:v>
                </c:pt>
                <c:pt idx="1">
                  <c:v>47.845999999999997</c:v>
                </c:pt>
                <c:pt idx="2">
                  <c:v>19.62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2771200"/>
        <c:axId val="182788096"/>
      </c:barChart>
      <c:catAx>
        <c:axId val="182771200"/>
        <c:scaling>
          <c:orientation val="minMax"/>
        </c:scaling>
        <c:delete val="0"/>
        <c:axPos val="b"/>
        <c:majorTickMark val="out"/>
        <c:minorTickMark val="none"/>
        <c:tickLblPos val="nextTo"/>
        <c:crossAx val="182788096"/>
        <c:crosses val="autoZero"/>
        <c:auto val="1"/>
        <c:lblAlgn val="ctr"/>
        <c:lblOffset val="100"/>
        <c:noMultiLvlLbl val="0"/>
      </c:catAx>
      <c:valAx>
        <c:axId val="182788096"/>
        <c:scaling>
          <c:orientation val="minMax"/>
          <c:max val="5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AT"/>
                  <a:t>Trail Länge (km)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crossAx val="182771200"/>
        <c:crosses val="autoZero"/>
        <c:crossBetween val="between"/>
        <c:majorUnit val="10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A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>
                <a:latin typeface="Arial Nova Light" panose="020B0304020202020204" pitchFamily="34" charset="0"/>
              </a:rPr>
              <a:t>MTB</a:t>
            </a:r>
            <a:r>
              <a:rPr lang="de-AT" baseline="0">
                <a:latin typeface="Arial Nova Light" panose="020B0304020202020204" pitchFamily="34" charset="0"/>
              </a:rPr>
              <a:t> Frequenz</a:t>
            </a:r>
            <a:endParaRPr lang="de-AT">
              <a:latin typeface="Arial Nova Light" panose="020B0304020202020204" pitchFamily="34" charset="0"/>
            </a:endParaRPr>
          </a:p>
        </c:rich>
      </c:tx>
      <c:layout>
        <c:manualLayout>
          <c:xMode val="edge"/>
          <c:yMode val="edge"/>
          <c:x val="0.28764780386703631"/>
          <c:y val="2.812407815017359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54212613187131"/>
          <c:y val="0.18610410231870186"/>
          <c:w val="0.57790167961288308"/>
          <c:h val="0.709605791679355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'Weglängen nach Klasse'!$A$2</c:f>
              <c:strCache>
                <c:ptCount val="1"/>
                <c:pt idx="0">
                  <c:v>Schwierigkeit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1"/>
            <c:invertIfNegative val="0"/>
            <c:bubble3D val="0"/>
            <c:spPr>
              <a:solidFill>
                <a:srgbClr val="00B0F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4343"/>
              </a:solidFill>
            </c:spPr>
          </c:dPt>
          <c:cat>
            <c:strRef>
              <c:f>'Weglängen nach Klasse'!$A$9:$A$11</c:f>
              <c:strCache>
                <c:ptCount val="3"/>
                <c:pt idx="0">
                  <c:v>Klasse 1</c:v>
                </c:pt>
                <c:pt idx="1">
                  <c:v>Klasse 2</c:v>
                </c:pt>
                <c:pt idx="2">
                  <c:v>Klasse 3</c:v>
                </c:pt>
              </c:strCache>
            </c:strRef>
          </c:cat>
          <c:val>
            <c:numRef>
              <c:f>'Weglängen nach Klasse'!$B$9:$B$11</c:f>
              <c:numCache>
                <c:formatCode>#,##0.0</c:formatCode>
                <c:ptCount val="3"/>
                <c:pt idx="0">
                  <c:v>49.223599999999998</c:v>
                </c:pt>
                <c:pt idx="1">
                  <c:v>41.718599999999995</c:v>
                </c:pt>
                <c:pt idx="2">
                  <c:v>20.687200000000001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75408384"/>
        <c:axId val="182789824"/>
      </c:barChart>
      <c:catAx>
        <c:axId val="275408384"/>
        <c:scaling>
          <c:orientation val="minMax"/>
        </c:scaling>
        <c:delete val="0"/>
        <c:axPos val="b"/>
        <c:majorTickMark val="out"/>
        <c:minorTickMark val="none"/>
        <c:tickLblPos val="nextTo"/>
        <c:crossAx val="182789824"/>
        <c:crosses val="autoZero"/>
        <c:auto val="1"/>
        <c:lblAlgn val="ctr"/>
        <c:lblOffset val="100"/>
        <c:noMultiLvlLbl val="0"/>
      </c:catAx>
      <c:valAx>
        <c:axId val="182789824"/>
        <c:scaling>
          <c:orientation val="minMax"/>
          <c:max val="5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AT"/>
                  <a:t>Trail Länge (km)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crossAx val="275408384"/>
        <c:crosses val="autoZero"/>
        <c:crossBetween val="between"/>
        <c:majorUnit val="10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A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>
                <a:latin typeface="Arial Nova Light" panose="020B0304020202020204" pitchFamily="34" charset="0"/>
              </a:rPr>
              <a:t>Fussgeher </a:t>
            </a:r>
            <a:r>
              <a:rPr lang="de-AT" baseline="0">
                <a:latin typeface="Arial Nova Light" panose="020B0304020202020204" pitchFamily="34" charset="0"/>
              </a:rPr>
              <a:t>Frequenz</a:t>
            </a:r>
            <a:endParaRPr lang="de-AT">
              <a:latin typeface="Arial Nova Light" panose="020B0304020202020204" pitchFamily="34" charset="0"/>
            </a:endParaRPr>
          </a:p>
        </c:rich>
      </c:tx>
      <c:layout>
        <c:manualLayout>
          <c:xMode val="edge"/>
          <c:yMode val="edge"/>
          <c:x val="0.20515811507813492"/>
          <c:y val="2.812407815017359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54212613187131"/>
          <c:y val="0.18610410231870186"/>
          <c:w val="0.57790167961288308"/>
          <c:h val="0.709605791679355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'Weglängen nach Klasse'!$A$2</c:f>
              <c:strCache>
                <c:ptCount val="1"/>
                <c:pt idx="0">
                  <c:v>Schwierigkeit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1"/>
            <c:invertIfNegative val="0"/>
            <c:bubble3D val="0"/>
            <c:spPr>
              <a:solidFill>
                <a:srgbClr val="00B0F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4343"/>
              </a:solidFill>
            </c:spPr>
          </c:dPt>
          <c:cat>
            <c:strRef>
              <c:f>'Weglängen nach Klasse'!$A$15:$A$17</c:f>
              <c:strCache>
                <c:ptCount val="3"/>
                <c:pt idx="0">
                  <c:v>Klasse 1</c:v>
                </c:pt>
                <c:pt idx="1">
                  <c:v>Klasse 2</c:v>
                </c:pt>
                <c:pt idx="2">
                  <c:v>Klasse 3</c:v>
                </c:pt>
              </c:strCache>
            </c:strRef>
          </c:cat>
          <c:val>
            <c:numRef>
              <c:f>'Weglängen nach Klasse'!$B$15:$B$17</c:f>
              <c:numCache>
                <c:formatCode>#,##0.0</c:formatCode>
                <c:ptCount val="3"/>
                <c:pt idx="0">
                  <c:v>42.451000000000001</c:v>
                </c:pt>
                <c:pt idx="1">
                  <c:v>29.259</c:v>
                </c:pt>
                <c:pt idx="2">
                  <c:v>39.917999999999999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75408896"/>
        <c:axId val="182791552"/>
      </c:barChart>
      <c:catAx>
        <c:axId val="275408896"/>
        <c:scaling>
          <c:orientation val="minMax"/>
        </c:scaling>
        <c:delete val="0"/>
        <c:axPos val="b"/>
        <c:majorTickMark val="out"/>
        <c:minorTickMark val="none"/>
        <c:tickLblPos val="nextTo"/>
        <c:crossAx val="182791552"/>
        <c:crosses val="autoZero"/>
        <c:auto val="1"/>
        <c:lblAlgn val="ctr"/>
        <c:lblOffset val="100"/>
        <c:noMultiLvlLbl val="0"/>
      </c:catAx>
      <c:valAx>
        <c:axId val="182791552"/>
        <c:scaling>
          <c:orientation val="minMax"/>
          <c:max val="5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AT"/>
                  <a:t>Trail Länge (km)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crossAx val="275408896"/>
        <c:crosses val="autoZero"/>
        <c:crossBetween val="between"/>
        <c:majorUnit val="10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A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>
                <a:latin typeface="Arial Nova Light" panose="020B0304020202020204" pitchFamily="34" charset="0"/>
              </a:rPr>
              <a:t>Bodenerosion</a:t>
            </a:r>
          </a:p>
        </c:rich>
      </c:tx>
      <c:layout>
        <c:manualLayout>
          <c:xMode val="edge"/>
          <c:yMode val="edge"/>
          <c:x val="0.28764780386703631"/>
          <c:y val="2.812407815017359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54212613187131"/>
          <c:y val="0.18610410231870186"/>
          <c:w val="0.57790167961288308"/>
          <c:h val="0.709605791679355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'Weglängen nach Klasse'!$A$2</c:f>
              <c:strCache>
                <c:ptCount val="1"/>
                <c:pt idx="0">
                  <c:v>Schwierigkeit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1"/>
            <c:invertIfNegative val="0"/>
            <c:bubble3D val="0"/>
            <c:spPr>
              <a:solidFill>
                <a:srgbClr val="00B0F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9797"/>
              </a:solidFill>
            </c:spPr>
          </c:dPt>
          <c:dPt>
            <c:idx val="3"/>
            <c:invertIfNegative val="0"/>
            <c:bubble3D val="0"/>
            <c:spPr>
              <a:solidFill>
                <a:srgbClr val="FF4343"/>
              </a:solidFill>
            </c:spPr>
          </c:dPt>
          <c:cat>
            <c:strRef>
              <c:f>'Weglängen nach Klasse'!$A$21:$A$24</c:f>
              <c:strCache>
                <c:ptCount val="4"/>
                <c:pt idx="0">
                  <c:v>Klasse 1</c:v>
                </c:pt>
                <c:pt idx="1">
                  <c:v>Klasse 2</c:v>
                </c:pt>
                <c:pt idx="2">
                  <c:v>Klasse 3</c:v>
                </c:pt>
                <c:pt idx="3">
                  <c:v>Klasse 4</c:v>
                </c:pt>
              </c:strCache>
            </c:strRef>
          </c:cat>
          <c:val>
            <c:numRef>
              <c:f>'Weglängen nach Klasse'!$B$21:$B$24</c:f>
              <c:numCache>
                <c:formatCode>0.0</c:formatCode>
                <c:ptCount val="4"/>
                <c:pt idx="0">
                  <c:v>49.7</c:v>
                </c:pt>
                <c:pt idx="1">
                  <c:v>37.975000000000001</c:v>
                </c:pt>
                <c:pt idx="2">
                  <c:v>18.059999999999999</c:v>
                </c:pt>
                <c:pt idx="3">
                  <c:v>5.8929999999999998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75410432"/>
        <c:axId val="182793280"/>
      </c:barChart>
      <c:catAx>
        <c:axId val="275410432"/>
        <c:scaling>
          <c:orientation val="minMax"/>
        </c:scaling>
        <c:delete val="0"/>
        <c:axPos val="b"/>
        <c:majorTickMark val="out"/>
        <c:minorTickMark val="none"/>
        <c:tickLblPos val="nextTo"/>
        <c:crossAx val="182793280"/>
        <c:crosses val="autoZero"/>
        <c:auto val="1"/>
        <c:lblAlgn val="ctr"/>
        <c:lblOffset val="100"/>
        <c:noMultiLvlLbl val="0"/>
      </c:catAx>
      <c:valAx>
        <c:axId val="182793280"/>
        <c:scaling>
          <c:orientation val="minMax"/>
          <c:max val="5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AT"/>
                  <a:t>Trail Länge (km)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crossAx val="275410432"/>
        <c:crosses val="autoZero"/>
        <c:crossBetween val="between"/>
        <c:majorUnit val="10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0</xdr:rowOff>
    </xdr:from>
    <xdr:to>
      <xdr:col>9</xdr:col>
      <xdr:colOff>240030</xdr:colOff>
      <xdr:row>19</xdr:row>
      <xdr:rowOff>15240</xdr:rowOff>
    </xdr:to>
    <xdr:graphicFrame macro="">
      <xdr:nvGraphicFramePr>
        <xdr:cNvPr id="5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0</xdr:rowOff>
    </xdr:from>
    <xdr:to>
      <xdr:col>9</xdr:col>
      <xdr:colOff>217170</xdr:colOff>
      <xdr:row>19</xdr:row>
      <xdr:rowOff>76200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777240</xdr:colOff>
      <xdr:row>1</xdr:row>
      <xdr:rowOff>0</xdr:rowOff>
    </xdr:from>
    <xdr:to>
      <xdr:col>9</xdr:col>
      <xdr:colOff>217170</xdr:colOff>
      <xdr:row>19</xdr:row>
      <xdr:rowOff>152400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746760</xdr:colOff>
      <xdr:row>1</xdr:row>
      <xdr:rowOff>0</xdr:rowOff>
    </xdr:from>
    <xdr:to>
      <xdr:col>8</xdr:col>
      <xdr:colOff>217170</xdr:colOff>
      <xdr:row>20</xdr:row>
      <xdr:rowOff>121920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769620</xdr:colOff>
      <xdr:row>1</xdr:row>
      <xdr:rowOff>0</xdr:rowOff>
    </xdr:from>
    <xdr:to>
      <xdr:col>10</xdr:col>
      <xdr:colOff>217170</xdr:colOff>
      <xdr:row>20</xdr:row>
      <xdr:rowOff>53340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7</xdr:col>
      <xdr:colOff>217170</xdr:colOff>
      <xdr:row>16</xdr:row>
      <xdr:rowOff>15240</xdr:rowOff>
    </xdr:to>
    <xdr:graphicFrame macro="">
      <xdr:nvGraphicFramePr>
        <xdr:cNvPr id="6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365760</xdr:colOff>
      <xdr:row>1</xdr:row>
      <xdr:rowOff>0</xdr:rowOff>
    </xdr:from>
    <xdr:to>
      <xdr:col>11</xdr:col>
      <xdr:colOff>582930</xdr:colOff>
      <xdr:row>16</xdr:row>
      <xdr:rowOff>15240</xdr:rowOff>
    </xdr:to>
    <xdr:graphicFrame macro="">
      <xdr:nvGraphicFramePr>
        <xdr:cNvPr id="7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7</xdr:col>
      <xdr:colOff>217170</xdr:colOff>
      <xdr:row>32</xdr:row>
      <xdr:rowOff>15240</xdr:rowOff>
    </xdr:to>
    <xdr:graphicFrame macro="">
      <xdr:nvGraphicFramePr>
        <xdr:cNvPr id="8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373380</xdr:colOff>
      <xdr:row>17</xdr:row>
      <xdr:rowOff>0</xdr:rowOff>
    </xdr:from>
    <xdr:to>
      <xdr:col>11</xdr:col>
      <xdr:colOff>590550</xdr:colOff>
      <xdr:row>32</xdr:row>
      <xdr:rowOff>15240</xdr:rowOff>
    </xdr:to>
    <xdr:graphicFrame macro="">
      <xdr:nvGraphicFramePr>
        <xdr:cNvPr id="9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le1" displayName="Tabelle1" ref="A1:D152" totalsRowShown="0" headerRowDxfId="45" dataDxfId="44">
  <autoFilter ref="A1:D152"/>
  <sortState ref="A2:D152">
    <sortCondition ref="A1:A152"/>
  </sortState>
  <tableColumns count="4">
    <tableColumn id="1" name="Schwierigkeit" dataDxfId="43"/>
    <tableColumn id="2" name="1 - leicht" dataDxfId="42"/>
    <tableColumn id="3" name="2 - mittel" dataDxfId="41"/>
    <tableColumn id="4" name="3 - schwierig" dataDxfId="4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elle2" displayName="Tabelle2" ref="A1:D152" totalsRowShown="0" headerRowDxfId="39" dataDxfId="38">
  <autoFilter ref="A1:D152"/>
  <tableColumns count="4">
    <tableColumn id="1" name="MTB Freq." dataDxfId="37"/>
    <tableColumn id="2" name="1-selten" dataDxfId="36"/>
    <tableColumn id="3" name="2-häufig" dataDxfId="35"/>
    <tableColumn id="4" name="3-sehr häufig" dataDxfId="3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5" name="Tabelle5" displayName="Tabelle5" ref="A1:D152" totalsRowShown="0" headerRowDxfId="33" dataDxfId="32">
  <autoFilter ref="A1:D152"/>
  <sortState ref="A2:D152">
    <sortCondition ref="A1:A152"/>
  </sortState>
  <tableColumns count="4">
    <tableColumn id="1" name="Fussgeher Freq." dataDxfId="31"/>
    <tableColumn id="4" name="1-selten" dataDxfId="30"/>
    <tableColumn id="3" name="2-häufig" dataDxfId="29"/>
    <tableColumn id="2" name="3-sehr häufig" dataDxfId="2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6" name="Tabelle6" displayName="Tabelle6" ref="A1:C152" totalsRowShown="0" headerRowDxfId="27" dataDxfId="26">
  <autoFilter ref="A1:C152"/>
  <sortState ref="A2:B151">
    <sortCondition ref="A1:A151"/>
  </sortState>
  <tableColumns count="3">
    <tableColumn id="1" name="Gefahrenstellen" dataDxfId="25"/>
    <tableColumn id="2" name="ja" dataDxfId="24"/>
    <tableColumn id="3" name="nein" dataDxfId="2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7" name="Tabelle7" displayName="Tabelle7" ref="A1:E152" totalsRowShown="0" headerRowDxfId="22" dataDxfId="21">
  <autoFilter ref="A1:E152"/>
  <sortState ref="A2:E152">
    <sortCondition ref="A1:A152"/>
  </sortState>
  <tableColumns count="5">
    <tableColumn id="1" name="Bodenerosion" dataDxfId="20"/>
    <tableColumn id="2" name="1-geringfügig" dataDxfId="19"/>
    <tableColumn id="3" name="2-mittel" dataDxfId="18"/>
    <tableColumn id="4" name="3-stark" dataDxfId="17"/>
    <tableColumn id="5" name="Klasse-4" dataDxfId="16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8" name="Tabelle8" displayName="Tabelle8" ref="A8:B11" totalsRowShown="0" headerRowDxfId="15" dataDxfId="14">
  <autoFilter ref="A8:B11"/>
  <sortState ref="A2:B4">
    <sortCondition ref="A1:A4"/>
  </sortState>
  <tableColumns count="2">
    <tableColumn id="1" name="MTB Frequenz" dataDxfId="13"/>
    <tableColumn id="2" name="Länge (km)" dataDxfId="1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9" name="Tabelle9" displayName="Tabelle9" ref="A2:B5" totalsRowShown="0" headerRowDxfId="11" dataDxfId="10">
  <autoFilter ref="A2:B5"/>
  <tableColumns count="2">
    <tableColumn id="1" name="Schwierigkeit" dataDxfId="9"/>
    <tableColumn id="2" name="Länge (km)" dataDxfId="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10" name="Tabelle811" displayName="Tabelle811" ref="A14:B17" totalsRowShown="0" headerRowDxfId="7" dataDxfId="6">
  <autoFilter ref="A14:B17"/>
  <sortState ref="A12:B14">
    <sortCondition ref="A11:A14"/>
  </sortState>
  <tableColumns count="2">
    <tableColumn id="1" name="Fussgänger Frequenz" dataDxfId="5"/>
    <tableColumn id="2" name="Länge (km)" dataDxfId="4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11" name="Tabelle11" displayName="Tabelle11" ref="A20:B24" totalsRowShown="0" headerRowDxfId="3" dataDxfId="2">
  <autoFilter ref="A20:B24"/>
  <tableColumns count="2">
    <tableColumn id="1" name="Bodenerosion" dataDxfId="1"/>
    <tableColumn id="2" name="Länge (km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1"/>
  <sheetViews>
    <sheetView workbookViewId="0">
      <selection activeCell="E10" sqref="E10"/>
    </sheetView>
  </sheetViews>
  <sheetFormatPr defaultColWidth="11.5546875" defaultRowHeight="13.8" x14ac:dyDescent="0.25"/>
  <cols>
    <col min="1" max="1" width="2.5546875" style="1" customWidth="1"/>
    <col min="2" max="2" width="21.77734375" style="1" customWidth="1"/>
    <col min="3" max="3" width="70.5546875" style="1" customWidth="1"/>
    <col min="4" max="16384" width="11.5546875" style="1"/>
  </cols>
  <sheetData>
    <row r="1" spans="2:3" ht="14.4" thickBot="1" x14ac:dyDescent="0.3"/>
    <row r="2" spans="2:3" x14ac:dyDescent="0.25">
      <c r="B2" s="14" t="s">
        <v>0</v>
      </c>
      <c r="C2" s="15" t="s">
        <v>172</v>
      </c>
    </row>
    <row r="3" spans="2:3" ht="27.6" x14ac:dyDescent="0.25">
      <c r="B3" s="8" t="s">
        <v>150</v>
      </c>
      <c r="C3" s="9" t="s">
        <v>170</v>
      </c>
    </row>
    <row r="4" spans="2:3" ht="41.4" x14ac:dyDescent="0.25">
      <c r="B4" s="8" t="s">
        <v>151</v>
      </c>
      <c r="C4" s="9" t="s">
        <v>171</v>
      </c>
    </row>
    <row r="5" spans="2:3" ht="55.8" thickBot="1" x14ac:dyDescent="0.3">
      <c r="B5" s="10" t="s">
        <v>152</v>
      </c>
      <c r="C5" s="11" t="s">
        <v>179</v>
      </c>
    </row>
    <row r="6" spans="2:3" ht="14.4" thickBot="1" x14ac:dyDescent="0.3"/>
    <row r="7" spans="2:3" x14ac:dyDescent="0.25">
      <c r="B7" s="14" t="s">
        <v>166</v>
      </c>
      <c r="C7" s="15" t="s">
        <v>172</v>
      </c>
    </row>
    <row r="8" spans="2:3" x14ac:dyDescent="0.25">
      <c r="B8" s="8" t="s">
        <v>150</v>
      </c>
      <c r="C8" s="9" t="s">
        <v>173</v>
      </c>
    </row>
    <row r="9" spans="2:3" x14ac:dyDescent="0.25">
      <c r="B9" s="8" t="s">
        <v>151</v>
      </c>
      <c r="C9" s="9" t="s">
        <v>180</v>
      </c>
    </row>
    <row r="10" spans="2:3" ht="14.4" thickBot="1" x14ac:dyDescent="0.3">
      <c r="B10" s="10" t="s">
        <v>152</v>
      </c>
      <c r="C10" s="11" t="s">
        <v>181</v>
      </c>
    </row>
    <row r="11" spans="2:3" ht="14.4" thickBot="1" x14ac:dyDescent="0.3"/>
    <row r="12" spans="2:3" x14ac:dyDescent="0.25">
      <c r="B12" s="14" t="s">
        <v>167</v>
      </c>
      <c r="C12" s="15" t="s">
        <v>172</v>
      </c>
    </row>
    <row r="13" spans="2:3" x14ac:dyDescent="0.25">
      <c r="B13" s="8" t="s">
        <v>150</v>
      </c>
      <c r="C13" s="12" t="s">
        <v>174</v>
      </c>
    </row>
    <row r="14" spans="2:3" x14ac:dyDescent="0.25">
      <c r="B14" s="8" t="s">
        <v>151</v>
      </c>
      <c r="C14" s="12" t="s">
        <v>182</v>
      </c>
    </row>
    <row r="15" spans="2:3" ht="14.4" thickBot="1" x14ac:dyDescent="0.3">
      <c r="B15" s="10" t="s">
        <v>152</v>
      </c>
      <c r="C15" s="13" t="s">
        <v>183</v>
      </c>
    </row>
    <row r="16" spans="2:3" ht="14.4" thickBot="1" x14ac:dyDescent="0.3"/>
    <row r="17" spans="2:3" x14ac:dyDescent="0.25">
      <c r="B17" s="14" t="s">
        <v>148</v>
      </c>
      <c r="C17" s="15" t="s">
        <v>172</v>
      </c>
    </row>
    <row r="18" spans="2:3" ht="27.6" x14ac:dyDescent="0.25">
      <c r="B18" s="8" t="s">
        <v>150</v>
      </c>
      <c r="C18" s="9" t="s">
        <v>175</v>
      </c>
    </row>
    <row r="19" spans="2:3" ht="27.6" x14ac:dyDescent="0.25">
      <c r="B19" s="8" t="s">
        <v>151</v>
      </c>
      <c r="C19" s="9" t="s">
        <v>176</v>
      </c>
    </row>
    <row r="20" spans="2:3" ht="27.6" x14ac:dyDescent="0.25">
      <c r="B20" s="8" t="s">
        <v>152</v>
      </c>
      <c r="C20" s="9" t="s">
        <v>177</v>
      </c>
    </row>
    <row r="21" spans="2:3" ht="28.2" thickBot="1" x14ac:dyDescent="0.3">
      <c r="B21" s="10" t="s">
        <v>168</v>
      </c>
      <c r="C21" s="11" t="s">
        <v>178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workbookViewId="0">
      <selection activeCell="I23" sqref="I23"/>
    </sheetView>
  </sheetViews>
  <sheetFormatPr defaultColWidth="11.5546875" defaultRowHeight="13.8" x14ac:dyDescent="0.25"/>
  <cols>
    <col min="1" max="1" width="38.6640625" style="1" customWidth="1"/>
    <col min="2" max="16384" width="11.5546875" style="1"/>
  </cols>
  <sheetData>
    <row r="1" spans="1:11" x14ac:dyDescent="0.25">
      <c r="A1" s="2" t="s">
        <v>0</v>
      </c>
      <c r="B1" s="1" t="s">
        <v>184</v>
      </c>
      <c r="C1" s="1" t="s">
        <v>185</v>
      </c>
      <c r="D1" s="1" t="s">
        <v>186</v>
      </c>
    </row>
    <row r="2" spans="1:11" x14ac:dyDescent="0.25">
      <c r="A2" s="1" t="s">
        <v>169</v>
      </c>
      <c r="D2" s="1">
        <v>1</v>
      </c>
    </row>
    <row r="3" spans="1:11" x14ac:dyDescent="0.25">
      <c r="A3" s="1" t="s">
        <v>1</v>
      </c>
      <c r="D3" s="1">
        <v>1</v>
      </c>
    </row>
    <row r="4" spans="1:11" x14ac:dyDescent="0.25">
      <c r="A4" s="1" t="s">
        <v>2</v>
      </c>
      <c r="B4" s="1">
        <v>1</v>
      </c>
    </row>
    <row r="5" spans="1:11" x14ac:dyDescent="0.25">
      <c r="A5" s="1" t="s">
        <v>3</v>
      </c>
      <c r="B5" s="1">
        <v>1</v>
      </c>
    </row>
    <row r="6" spans="1:11" x14ac:dyDescent="0.25">
      <c r="A6" s="1" t="s">
        <v>4</v>
      </c>
      <c r="B6" s="1">
        <v>1</v>
      </c>
    </row>
    <row r="7" spans="1:11" x14ac:dyDescent="0.25">
      <c r="A7" s="1" t="s">
        <v>5</v>
      </c>
      <c r="C7" s="1">
        <v>1</v>
      </c>
    </row>
    <row r="8" spans="1:11" x14ac:dyDescent="0.25">
      <c r="A8" s="1" t="s">
        <v>6</v>
      </c>
      <c r="C8" s="1">
        <v>1</v>
      </c>
    </row>
    <row r="9" spans="1:11" x14ac:dyDescent="0.25">
      <c r="A9" s="1" t="s">
        <v>7</v>
      </c>
      <c r="C9" s="1">
        <v>1</v>
      </c>
    </row>
    <row r="10" spans="1:11" x14ac:dyDescent="0.25">
      <c r="A10" s="1" t="s">
        <v>8</v>
      </c>
      <c r="C10" s="1">
        <v>1</v>
      </c>
    </row>
    <row r="11" spans="1:11" x14ac:dyDescent="0.25">
      <c r="A11" s="1" t="s">
        <v>9</v>
      </c>
      <c r="D11" s="1">
        <v>1</v>
      </c>
    </row>
    <row r="12" spans="1:11" x14ac:dyDescent="0.25">
      <c r="A12" s="1" t="s">
        <v>10</v>
      </c>
      <c r="B12" s="1">
        <v>1</v>
      </c>
    </row>
    <row r="13" spans="1:11" x14ac:dyDescent="0.25">
      <c r="A13" s="1" t="s">
        <v>11</v>
      </c>
      <c r="B13" s="1">
        <v>1</v>
      </c>
      <c r="K13" s="3"/>
    </row>
    <row r="14" spans="1:11" x14ac:dyDescent="0.25">
      <c r="A14" s="1" t="s">
        <v>12</v>
      </c>
      <c r="C14" s="1">
        <v>1</v>
      </c>
    </row>
    <row r="15" spans="1:11" x14ac:dyDescent="0.25">
      <c r="A15" s="1" t="s">
        <v>13</v>
      </c>
      <c r="C15" s="1">
        <v>1</v>
      </c>
    </row>
    <row r="16" spans="1:11" x14ac:dyDescent="0.25">
      <c r="A16" s="1" t="s">
        <v>14</v>
      </c>
      <c r="C16" s="1">
        <v>1</v>
      </c>
    </row>
    <row r="17" spans="1:3" x14ac:dyDescent="0.25">
      <c r="A17" s="1" t="s">
        <v>15</v>
      </c>
      <c r="B17" s="1">
        <v>1</v>
      </c>
    </row>
    <row r="18" spans="1:3" x14ac:dyDescent="0.25">
      <c r="A18" s="1" t="s">
        <v>16</v>
      </c>
      <c r="C18" s="1">
        <v>1</v>
      </c>
    </row>
    <row r="19" spans="1:3" x14ac:dyDescent="0.25">
      <c r="A19" s="1" t="s">
        <v>159</v>
      </c>
      <c r="B19" s="1">
        <v>1</v>
      </c>
    </row>
    <row r="20" spans="1:3" x14ac:dyDescent="0.25">
      <c r="A20" s="1" t="s">
        <v>17</v>
      </c>
      <c r="B20" s="1">
        <v>1</v>
      </c>
    </row>
    <row r="21" spans="1:3" x14ac:dyDescent="0.25">
      <c r="A21" s="1" t="s">
        <v>18</v>
      </c>
      <c r="B21" s="1">
        <v>1</v>
      </c>
    </row>
    <row r="22" spans="1:3" x14ac:dyDescent="0.25">
      <c r="A22" s="1" t="s">
        <v>19</v>
      </c>
      <c r="B22" s="1">
        <v>1</v>
      </c>
    </row>
    <row r="23" spans="1:3" x14ac:dyDescent="0.25">
      <c r="A23" s="1" t="s">
        <v>20</v>
      </c>
      <c r="B23" s="1">
        <v>1</v>
      </c>
    </row>
    <row r="24" spans="1:3" x14ac:dyDescent="0.25">
      <c r="A24" s="1" t="s">
        <v>21</v>
      </c>
      <c r="B24" s="1">
        <v>1</v>
      </c>
    </row>
    <row r="25" spans="1:3" x14ac:dyDescent="0.25">
      <c r="A25" s="1" t="s">
        <v>22</v>
      </c>
      <c r="C25" s="1">
        <v>1</v>
      </c>
    </row>
    <row r="26" spans="1:3" x14ac:dyDescent="0.25">
      <c r="A26" s="1" t="s">
        <v>23</v>
      </c>
      <c r="C26" s="1">
        <v>1</v>
      </c>
    </row>
    <row r="27" spans="1:3" x14ac:dyDescent="0.25">
      <c r="A27" s="1" t="s">
        <v>24</v>
      </c>
      <c r="B27" s="1">
        <v>1</v>
      </c>
    </row>
    <row r="28" spans="1:3" x14ac:dyDescent="0.25">
      <c r="A28" s="1" t="s">
        <v>25</v>
      </c>
      <c r="C28" s="1">
        <v>1</v>
      </c>
    </row>
    <row r="29" spans="1:3" x14ac:dyDescent="0.25">
      <c r="A29" s="1" t="s">
        <v>27</v>
      </c>
      <c r="B29" s="1">
        <v>1</v>
      </c>
    </row>
    <row r="30" spans="1:3" x14ac:dyDescent="0.25">
      <c r="A30" s="1" t="s">
        <v>26</v>
      </c>
      <c r="B30" s="1">
        <v>1</v>
      </c>
    </row>
    <row r="31" spans="1:3" x14ac:dyDescent="0.25">
      <c r="A31" s="1" t="s">
        <v>28</v>
      </c>
      <c r="C31" s="1">
        <v>1</v>
      </c>
    </row>
    <row r="32" spans="1:3" x14ac:dyDescent="0.25">
      <c r="A32" s="1" t="s">
        <v>29</v>
      </c>
      <c r="B32" s="1">
        <v>1</v>
      </c>
    </row>
    <row r="33" spans="1:4" x14ac:dyDescent="0.25">
      <c r="A33" s="1" t="s">
        <v>30</v>
      </c>
      <c r="B33" s="1">
        <v>1</v>
      </c>
    </row>
    <row r="34" spans="1:4" x14ac:dyDescent="0.25">
      <c r="A34" s="1" t="s">
        <v>31</v>
      </c>
      <c r="D34" s="1">
        <v>1</v>
      </c>
    </row>
    <row r="35" spans="1:4" x14ac:dyDescent="0.25">
      <c r="A35" s="1" t="s">
        <v>32</v>
      </c>
      <c r="C35" s="1">
        <v>1</v>
      </c>
    </row>
    <row r="36" spans="1:4" x14ac:dyDescent="0.25">
      <c r="A36" s="1" t="s">
        <v>33</v>
      </c>
      <c r="B36" s="1">
        <v>1</v>
      </c>
    </row>
    <row r="37" spans="1:4" x14ac:dyDescent="0.25">
      <c r="A37" s="1" t="s">
        <v>34</v>
      </c>
      <c r="B37" s="1">
        <v>1</v>
      </c>
    </row>
    <row r="38" spans="1:4" x14ac:dyDescent="0.25">
      <c r="A38" s="1" t="s">
        <v>35</v>
      </c>
      <c r="B38" s="1">
        <v>1</v>
      </c>
    </row>
    <row r="39" spans="1:4" x14ac:dyDescent="0.25">
      <c r="A39" s="1" t="s">
        <v>36</v>
      </c>
      <c r="B39" s="1">
        <v>1</v>
      </c>
    </row>
    <row r="40" spans="1:4" x14ac:dyDescent="0.25">
      <c r="A40" s="1" t="s">
        <v>37</v>
      </c>
      <c r="D40" s="1">
        <v>1</v>
      </c>
    </row>
    <row r="41" spans="1:4" x14ac:dyDescent="0.25">
      <c r="A41" s="1" t="s">
        <v>38</v>
      </c>
      <c r="B41" s="1">
        <v>1</v>
      </c>
    </row>
    <row r="42" spans="1:4" x14ac:dyDescent="0.25">
      <c r="A42" s="1" t="s">
        <v>39</v>
      </c>
      <c r="C42" s="1">
        <v>1</v>
      </c>
    </row>
    <row r="43" spans="1:4" x14ac:dyDescent="0.25">
      <c r="A43" s="1" t="s">
        <v>40</v>
      </c>
      <c r="B43" s="1">
        <v>1</v>
      </c>
    </row>
    <row r="44" spans="1:4" x14ac:dyDescent="0.25">
      <c r="A44" s="1" t="s">
        <v>41</v>
      </c>
      <c r="C44" s="1">
        <v>1</v>
      </c>
    </row>
    <row r="45" spans="1:4" x14ac:dyDescent="0.25">
      <c r="A45" s="1" t="s">
        <v>42</v>
      </c>
      <c r="B45" s="1">
        <v>1</v>
      </c>
    </row>
    <row r="46" spans="1:4" x14ac:dyDescent="0.25">
      <c r="A46" s="1" t="s">
        <v>43</v>
      </c>
      <c r="D46" s="1">
        <v>1</v>
      </c>
    </row>
    <row r="47" spans="1:4" x14ac:dyDescent="0.25">
      <c r="A47" s="1" t="s">
        <v>44</v>
      </c>
      <c r="C47" s="1">
        <v>1</v>
      </c>
    </row>
    <row r="48" spans="1:4" x14ac:dyDescent="0.25">
      <c r="A48" s="1" t="s">
        <v>45</v>
      </c>
      <c r="C48" s="1">
        <v>1</v>
      </c>
    </row>
    <row r="49" spans="1:4" x14ac:dyDescent="0.25">
      <c r="A49" s="1" t="s">
        <v>46</v>
      </c>
      <c r="B49" s="1">
        <v>1</v>
      </c>
    </row>
    <row r="50" spans="1:4" x14ac:dyDescent="0.25">
      <c r="A50" s="1" t="s">
        <v>47</v>
      </c>
      <c r="C50" s="1">
        <v>1</v>
      </c>
    </row>
    <row r="51" spans="1:4" x14ac:dyDescent="0.25">
      <c r="A51" s="1" t="s">
        <v>48</v>
      </c>
      <c r="C51" s="1">
        <v>1</v>
      </c>
    </row>
    <row r="52" spans="1:4" x14ac:dyDescent="0.25">
      <c r="A52" s="1" t="s">
        <v>49</v>
      </c>
      <c r="C52" s="1">
        <v>1</v>
      </c>
    </row>
    <row r="53" spans="1:4" x14ac:dyDescent="0.25">
      <c r="A53" s="1" t="s">
        <v>50</v>
      </c>
      <c r="C53" s="1">
        <v>1</v>
      </c>
    </row>
    <row r="54" spans="1:4" x14ac:dyDescent="0.25">
      <c r="A54" s="1" t="s">
        <v>51</v>
      </c>
      <c r="D54" s="1">
        <v>1</v>
      </c>
    </row>
    <row r="55" spans="1:4" x14ac:dyDescent="0.25">
      <c r="A55" s="1" t="s">
        <v>52</v>
      </c>
      <c r="B55" s="1">
        <v>1</v>
      </c>
    </row>
    <row r="56" spans="1:4" x14ac:dyDescent="0.25">
      <c r="A56" s="1" t="s">
        <v>53</v>
      </c>
      <c r="C56" s="1">
        <v>1</v>
      </c>
    </row>
    <row r="57" spans="1:4" x14ac:dyDescent="0.25">
      <c r="A57" s="1" t="s">
        <v>54</v>
      </c>
      <c r="D57" s="1">
        <v>1</v>
      </c>
    </row>
    <row r="58" spans="1:4" x14ac:dyDescent="0.25">
      <c r="A58" s="1" t="s">
        <v>55</v>
      </c>
      <c r="C58" s="1">
        <v>1</v>
      </c>
    </row>
    <row r="59" spans="1:4" x14ac:dyDescent="0.25">
      <c r="A59" s="1" t="s">
        <v>56</v>
      </c>
      <c r="B59" s="1">
        <v>1</v>
      </c>
    </row>
    <row r="60" spans="1:4" x14ac:dyDescent="0.25">
      <c r="A60" s="1" t="s">
        <v>57</v>
      </c>
      <c r="C60" s="1">
        <v>1</v>
      </c>
    </row>
    <row r="61" spans="1:4" x14ac:dyDescent="0.25">
      <c r="A61" s="1" t="s">
        <v>58</v>
      </c>
      <c r="B61" s="1">
        <v>1</v>
      </c>
    </row>
    <row r="62" spans="1:4" x14ac:dyDescent="0.25">
      <c r="A62" s="1" t="s">
        <v>59</v>
      </c>
      <c r="B62" s="1">
        <v>1</v>
      </c>
    </row>
    <row r="63" spans="1:4" x14ac:dyDescent="0.25">
      <c r="A63" s="1" t="s">
        <v>60</v>
      </c>
      <c r="D63" s="1">
        <v>1</v>
      </c>
    </row>
    <row r="64" spans="1:4" x14ac:dyDescent="0.25">
      <c r="A64" s="1" t="s">
        <v>61</v>
      </c>
      <c r="C64" s="1">
        <v>1</v>
      </c>
    </row>
    <row r="65" spans="1:4" x14ac:dyDescent="0.25">
      <c r="A65" s="1" t="s">
        <v>62</v>
      </c>
      <c r="C65" s="1">
        <v>1</v>
      </c>
    </row>
    <row r="66" spans="1:4" x14ac:dyDescent="0.25">
      <c r="A66" s="1" t="s">
        <v>63</v>
      </c>
      <c r="D66" s="1">
        <v>1</v>
      </c>
    </row>
    <row r="67" spans="1:4" x14ac:dyDescent="0.25">
      <c r="A67" s="1" t="s">
        <v>64</v>
      </c>
      <c r="D67" s="1">
        <v>1</v>
      </c>
    </row>
    <row r="68" spans="1:4" x14ac:dyDescent="0.25">
      <c r="A68" s="1" t="s">
        <v>65</v>
      </c>
      <c r="D68" s="1">
        <v>1</v>
      </c>
    </row>
    <row r="69" spans="1:4" x14ac:dyDescent="0.25">
      <c r="A69" s="1" t="s">
        <v>66</v>
      </c>
      <c r="D69" s="1">
        <v>1</v>
      </c>
    </row>
    <row r="70" spans="1:4" x14ac:dyDescent="0.25">
      <c r="A70" s="1" t="s">
        <v>67</v>
      </c>
      <c r="B70" s="1">
        <v>1</v>
      </c>
    </row>
    <row r="71" spans="1:4" x14ac:dyDescent="0.25">
      <c r="A71" s="1" t="s">
        <v>68</v>
      </c>
      <c r="B71" s="1">
        <v>1</v>
      </c>
    </row>
    <row r="72" spans="1:4" x14ac:dyDescent="0.25">
      <c r="A72" s="1" t="s">
        <v>69</v>
      </c>
      <c r="C72" s="1">
        <v>1</v>
      </c>
    </row>
    <row r="73" spans="1:4" x14ac:dyDescent="0.25">
      <c r="A73" s="1" t="s">
        <v>70</v>
      </c>
      <c r="B73" s="1">
        <v>1</v>
      </c>
    </row>
    <row r="74" spans="1:4" x14ac:dyDescent="0.25">
      <c r="A74" s="1" t="s">
        <v>160</v>
      </c>
      <c r="D74" s="1">
        <v>1</v>
      </c>
    </row>
    <row r="75" spans="1:4" x14ac:dyDescent="0.25">
      <c r="A75" s="1" t="s">
        <v>71</v>
      </c>
      <c r="D75" s="1">
        <v>1</v>
      </c>
    </row>
    <row r="76" spans="1:4" x14ac:dyDescent="0.25">
      <c r="A76" s="1" t="s">
        <v>161</v>
      </c>
      <c r="C76" s="1">
        <v>1</v>
      </c>
    </row>
    <row r="77" spans="1:4" x14ac:dyDescent="0.25">
      <c r="A77" s="1" t="s">
        <v>72</v>
      </c>
      <c r="C77" s="1">
        <v>1</v>
      </c>
    </row>
    <row r="78" spans="1:4" x14ac:dyDescent="0.25">
      <c r="A78" s="1" t="s">
        <v>73</v>
      </c>
      <c r="C78" s="1">
        <v>1</v>
      </c>
    </row>
    <row r="79" spans="1:4" x14ac:dyDescent="0.25">
      <c r="A79" s="1" t="s">
        <v>74</v>
      </c>
      <c r="B79" s="1">
        <v>1</v>
      </c>
    </row>
    <row r="80" spans="1:4" x14ac:dyDescent="0.25">
      <c r="A80" s="1" t="s">
        <v>75</v>
      </c>
      <c r="B80" s="1">
        <v>1</v>
      </c>
    </row>
    <row r="81" spans="1:4" x14ac:dyDescent="0.25">
      <c r="A81" s="1" t="s">
        <v>76</v>
      </c>
      <c r="B81" s="1">
        <v>1</v>
      </c>
    </row>
    <row r="82" spans="1:4" x14ac:dyDescent="0.25">
      <c r="A82" s="1" t="s">
        <v>77</v>
      </c>
      <c r="B82" s="1">
        <v>1</v>
      </c>
    </row>
    <row r="83" spans="1:4" x14ac:dyDescent="0.25">
      <c r="A83" s="1" t="s">
        <v>78</v>
      </c>
      <c r="C83" s="1">
        <v>1</v>
      </c>
    </row>
    <row r="84" spans="1:4" x14ac:dyDescent="0.25">
      <c r="A84" s="1" t="s">
        <v>79</v>
      </c>
      <c r="C84" s="1">
        <v>1</v>
      </c>
    </row>
    <row r="85" spans="1:4" x14ac:dyDescent="0.25">
      <c r="A85" s="1" t="s">
        <v>80</v>
      </c>
      <c r="B85" s="1">
        <v>1</v>
      </c>
    </row>
    <row r="86" spans="1:4" x14ac:dyDescent="0.25">
      <c r="A86" s="1" t="s">
        <v>81</v>
      </c>
      <c r="C86" s="1">
        <v>1</v>
      </c>
    </row>
    <row r="87" spans="1:4" x14ac:dyDescent="0.25">
      <c r="A87" s="1" t="s">
        <v>82</v>
      </c>
      <c r="B87" s="1">
        <v>1</v>
      </c>
    </row>
    <row r="88" spans="1:4" x14ac:dyDescent="0.25">
      <c r="A88" s="1" t="s">
        <v>83</v>
      </c>
      <c r="D88" s="1">
        <v>1</v>
      </c>
    </row>
    <row r="89" spans="1:4" x14ac:dyDescent="0.25">
      <c r="A89" s="1" t="s">
        <v>162</v>
      </c>
      <c r="D89" s="1">
        <v>1</v>
      </c>
    </row>
    <row r="90" spans="1:4" x14ac:dyDescent="0.25">
      <c r="A90" s="1" t="s">
        <v>84</v>
      </c>
      <c r="C90" s="1">
        <v>1</v>
      </c>
    </row>
    <row r="91" spans="1:4" x14ac:dyDescent="0.25">
      <c r="A91" s="1" t="s">
        <v>86</v>
      </c>
      <c r="B91" s="1">
        <v>1</v>
      </c>
    </row>
    <row r="92" spans="1:4" x14ac:dyDescent="0.25">
      <c r="A92" s="1" t="s">
        <v>85</v>
      </c>
      <c r="C92" s="1">
        <v>1</v>
      </c>
    </row>
    <row r="93" spans="1:4" x14ac:dyDescent="0.25">
      <c r="A93" s="1" t="s">
        <v>87</v>
      </c>
      <c r="D93" s="1">
        <v>1</v>
      </c>
    </row>
    <row r="94" spans="1:4" x14ac:dyDescent="0.25">
      <c r="A94" s="1" t="s">
        <v>89</v>
      </c>
      <c r="C94" s="1">
        <v>1</v>
      </c>
    </row>
    <row r="95" spans="1:4" x14ac:dyDescent="0.25">
      <c r="A95" s="1" t="s">
        <v>90</v>
      </c>
      <c r="C95" s="1">
        <v>1</v>
      </c>
    </row>
    <row r="96" spans="1:4" x14ac:dyDescent="0.25">
      <c r="A96" s="1" t="s">
        <v>163</v>
      </c>
      <c r="C96" s="1">
        <v>1</v>
      </c>
    </row>
    <row r="97" spans="1:4" x14ac:dyDescent="0.25">
      <c r="A97" s="1" t="s">
        <v>88</v>
      </c>
      <c r="C97" s="1">
        <v>1</v>
      </c>
    </row>
    <row r="98" spans="1:4" x14ac:dyDescent="0.25">
      <c r="A98" s="1" t="s">
        <v>96</v>
      </c>
      <c r="B98" s="1">
        <v>1</v>
      </c>
    </row>
    <row r="99" spans="1:4" x14ac:dyDescent="0.25">
      <c r="A99" s="1" t="s">
        <v>91</v>
      </c>
      <c r="B99" s="1">
        <v>1</v>
      </c>
    </row>
    <row r="100" spans="1:4" x14ac:dyDescent="0.25">
      <c r="A100" s="1" t="s">
        <v>92</v>
      </c>
      <c r="B100" s="1">
        <v>1</v>
      </c>
    </row>
    <row r="101" spans="1:4" x14ac:dyDescent="0.25">
      <c r="A101" s="1" t="s">
        <v>93</v>
      </c>
      <c r="B101" s="1">
        <v>1</v>
      </c>
    </row>
    <row r="102" spans="1:4" x14ac:dyDescent="0.25">
      <c r="A102" s="1" t="s">
        <v>94</v>
      </c>
      <c r="B102" s="1">
        <v>1</v>
      </c>
    </row>
    <row r="103" spans="1:4" x14ac:dyDescent="0.25">
      <c r="A103" s="1" t="s">
        <v>95</v>
      </c>
      <c r="B103" s="1">
        <v>1</v>
      </c>
    </row>
    <row r="104" spans="1:4" x14ac:dyDescent="0.25">
      <c r="A104" s="1" t="s">
        <v>97</v>
      </c>
      <c r="C104" s="1">
        <v>1</v>
      </c>
    </row>
    <row r="105" spans="1:4" x14ac:dyDescent="0.25">
      <c r="A105" s="1" t="s">
        <v>144</v>
      </c>
      <c r="C105" s="1">
        <v>1</v>
      </c>
    </row>
    <row r="106" spans="1:4" x14ac:dyDescent="0.25">
      <c r="A106" s="1" t="s">
        <v>98</v>
      </c>
      <c r="B106" s="1">
        <v>1</v>
      </c>
    </row>
    <row r="107" spans="1:4" x14ac:dyDescent="0.25">
      <c r="A107" s="1" t="s">
        <v>99</v>
      </c>
      <c r="C107" s="1">
        <v>1</v>
      </c>
    </row>
    <row r="108" spans="1:4" x14ac:dyDescent="0.25">
      <c r="A108" s="1" t="s">
        <v>100</v>
      </c>
      <c r="B108" s="1">
        <v>1</v>
      </c>
    </row>
    <row r="109" spans="1:4" x14ac:dyDescent="0.25">
      <c r="A109" s="1" t="s">
        <v>101</v>
      </c>
      <c r="C109" s="1">
        <v>1</v>
      </c>
    </row>
    <row r="110" spans="1:4" x14ac:dyDescent="0.25">
      <c r="A110" s="1" t="s">
        <v>102</v>
      </c>
      <c r="D110" s="1">
        <v>1</v>
      </c>
    </row>
    <row r="111" spans="1:4" x14ac:dyDescent="0.25">
      <c r="A111" s="1" t="s">
        <v>103</v>
      </c>
      <c r="B111" s="1">
        <v>1</v>
      </c>
    </row>
    <row r="112" spans="1:4" x14ac:dyDescent="0.25">
      <c r="A112" s="1" t="s">
        <v>104</v>
      </c>
      <c r="C112" s="1">
        <v>1</v>
      </c>
    </row>
    <row r="113" spans="1:3" x14ac:dyDescent="0.25">
      <c r="A113" s="1" t="s">
        <v>164</v>
      </c>
      <c r="B113" s="1">
        <v>1</v>
      </c>
    </row>
    <row r="114" spans="1:3" x14ac:dyDescent="0.25">
      <c r="A114" s="1" t="s">
        <v>105</v>
      </c>
      <c r="C114" s="1">
        <v>1</v>
      </c>
    </row>
    <row r="115" spans="1:3" x14ac:dyDescent="0.25">
      <c r="A115" s="1" t="s">
        <v>106</v>
      </c>
      <c r="B115" s="1">
        <v>1</v>
      </c>
    </row>
    <row r="116" spans="1:3" x14ac:dyDescent="0.25">
      <c r="A116" s="1" t="s">
        <v>107</v>
      </c>
      <c r="C116" s="1">
        <v>1</v>
      </c>
    </row>
    <row r="117" spans="1:3" x14ac:dyDescent="0.25">
      <c r="A117" s="1" t="s">
        <v>108</v>
      </c>
      <c r="C117" s="1">
        <v>1</v>
      </c>
    </row>
    <row r="118" spans="1:3" x14ac:dyDescent="0.25">
      <c r="A118" s="1" t="s">
        <v>109</v>
      </c>
      <c r="B118" s="1">
        <v>1</v>
      </c>
    </row>
    <row r="119" spans="1:3" x14ac:dyDescent="0.25">
      <c r="A119" s="1" t="s">
        <v>114</v>
      </c>
      <c r="C119" s="1">
        <v>1</v>
      </c>
    </row>
    <row r="120" spans="1:3" x14ac:dyDescent="0.25">
      <c r="A120" s="1" t="s">
        <v>110</v>
      </c>
      <c r="C120" s="1">
        <v>1</v>
      </c>
    </row>
    <row r="121" spans="1:3" x14ac:dyDescent="0.25">
      <c r="A121" s="1" t="s">
        <v>111</v>
      </c>
      <c r="B121" s="1">
        <v>1</v>
      </c>
    </row>
    <row r="122" spans="1:3" x14ac:dyDescent="0.25">
      <c r="A122" s="1" t="s">
        <v>112</v>
      </c>
      <c r="B122" s="1">
        <v>1</v>
      </c>
    </row>
    <row r="123" spans="1:3" x14ac:dyDescent="0.25">
      <c r="A123" s="1" t="s">
        <v>113</v>
      </c>
      <c r="C123" s="1">
        <v>1</v>
      </c>
    </row>
    <row r="124" spans="1:3" x14ac:dyDescent="0.25">
      <c r="A124" s="1" t="s">
        <v>115</v>
      </c>
      <c r="C124" s="1">
        <v>1</v>
      </c>
    </row>
    <row r="125" spans="1:3" x14ac:dyDescent="0.25">
      <c r="A125" s="1" t="s">
        <v>116</v>
      </c>
      <c r="C125" s="1">
        <v>1</v>
      </c>
    </row>
    <row r="126" spans="1:3" x14ac:dyDescent="0.25">
      <c r="A126" s="1" t="s">
        <v>117</v>
      </c>
      <c r="C126" s="1">
        <v>1</v>
      </c>
    </row>
    <row r="127" spans="1:3" x14ac:dyDescent="0.25">
      <c r="A127" s="1" t="s">
        <v>118</v>
      </c>
      <c r="C127" s="1">
        <v>1</v>
      </c>
    </row>
    <row r="128" spans="1:3" x14ac:dyDescent="0.25">
      <c r="A128" s="1" t="s">
        <v>119</v>
      </c>
      <c r="C128" s="1">
        <v>1</v>
      </c>
    </row>
    <row r="129" spans="1:4" x14ac:dyDescent="0.25">
      <c r="A129" s="1" t="s">
        <v>120</v>
      </c>
      <c r="D129" s="1">
        <v>1</v>
      </c>
    </row>
    <row r="130" spans="1:4" x14ac:dyDescent="0.25">
      <c r="A130" s="1" t="s">
        <v>121</v>
      </c>
      <c r="B130" s="1">
        <v>1</v>
      </c>
    </row>
    <row r="131" spans="1:4" x14ac:dyDescent="0.25">
      <c r="A131" s="1" t="s">
        <v>122</v>
      </c>
      <c r="C131" s="1">
        <v>1</v>
      </c>
    </row>
    <row r="132" spans="1:4" x14ac:dyDescent="0.25">
      <c r="A132" s="1" t="s">
        <v>123</v>
      </c>
      <c r="C132" s="1">
        <v>1</v>
      </c>
    </row>
    <row r="133" spans="1:4" x14ac:dyDescent="0.25">
      <c r="A133" s="1" t="s">
        <v>124</v>
      </c>
      <c r="C133" s="1">
        <v>1</v>
      </c>
    </row>
    <row r="134" spans="1:4" x14ac:dyDescent="0.25">
      <c r="A134" s="1" t="s">
        <v>125</v>
      </c>
      <c r="B134" s="1">
        <v>1</v>
      </c>
    </row>
    <row r="135" spans="1:4" x14ac:dyDescent="0.25">
      <c r="A135" s="1" t="s">
        <v>126</v>
      </c>
      <c r="D135" s="1">
        <v>1</v>
      </c>
    </row>
    <row r="136" spans="1:4" x14ac:dyDescent="0.25">
      <c r="A136" s="1" t="s">
        <v>127</v>
      </c>
      <c r="D136" s="1">
        <v>1</v>
      </c>
    </row>
    <row r="137" spans="1:4" x14ac:dyDescent="0.25">
      <c r="A137" s="1" t="s">
        <v>128</v>
      </c>
      <c r="C137" s="1">
        <v>1</v>
      </c>
    </row>
    <row r="138" spans="1:4" x14ac:dyDescent="0.25">
      <c r="A138" s="1" t="s">
        <v>129</v>
      </c>
      <c r="C138" s="1">
        <v>1</v>
      </c>
    </row>
    <row r="139" spans="1:4" x14ac:dyDescent="0.25">
      <c r="A139" s="1" t="s">
        <v>130</v>
      </c>
      <c r="B139" s="1">
        <v>1</v>
      </c>
    </row>
    <row r="140" spans="1:4" x14ac:dyDescent="0.25">
      <c r="A140" s="1" t="s">
        <v>131</v>
      </c>
      <c r="B140" s="1">
        <v>1</v>
      </c>
    </row>
    <row r="141" spans="1:4" x14ac:dyDescent="0.25">
      <c r="A141" s="1" t="s">
        <v>132</v>
      </c>
      <c r="B141" s="1">
        <v>1</v>
      </c>
    </row>
    <row r="142" spans="1:4" x14ac:dyDescent="0.25">
      <c r="A142" s="1" t="s">
        <v>133</v>
      </c>
      <c r="C142" s="1">
        <v>1</v>
      </c>
    </row>
    <row r="143" spans="1:4" x14ac:dyDescent="0.25">
      <c r="A143" s="1" t="s">
        <v>134</v>
      </c>
      <c r="B143" s="1">
        <v>1</v>
      </c>
    </row>
    <row r="144" spans="1:4" x14ac:dyDescent="0.25">
      <c r="A144" s="1" t="s">
        <v>136</v>
      </c>
      <c r="C144" s="1">
        <v>1</v>
      </c>
    </row>
    <row r="145" spans="1:5" x14ac:dyDescent="0.25">
      <c r="A145" s="1" t="s">
        <v>135</v>
      </c>
      <c r="B145" s="1">
        <v>1</v>
      </c>
    </row>
    <row r="146" spans="1:5" x14ac:dyDescent="0.25">
      <c r="A146" s="1" t="s">
        <v>137</v>
      </c>
      <c r="D146" s="1">
        <v>1</v>
      </c>
    </row>
    <row r="147" spans="1:5" x14ac:dyDescent="0.25">
      <c r="A147" s="1" t="s">
        <v>138</v>
      </c>
      <c r="C147" s="1">
        <v>1</v>
      </c>
    </row>
    <row r="148" spans="1:5" x14ac:dyDescent="0.25">
      <c r="A148" s="1" t="s">
        <v>139</v>
      </c>
      <c r="C148" s="1">
        <v>1</v>
      </c>
    </row>
    <row r="149" spans="1:5" x14ac:dyDescent="0.25">
      <c r="A149" s="1" t="s">
        <v>140</v>
      </c>
      <c r="C149" s="1">
        <v>1</v>
      </c>
    </row>
    <row r="150" spans="1:5" x14ac:dyDescent="0.25">
      <c r="A150" s="1" t="s">
        <v>141</v>
      </c>
      <c r="B150" s="1">
        <v>1</v>
      </c>
    </row>
    <row r="151" spans="1:5" x14ac:dyDescent="0.25">
      <c r="A151" s="1" t="s">
        <v>142</v>
      </c>
      <c r="B151" s="1">
        <v>1</v>
      </c>
    </row>
    <row r="152" spans="1:5" x14ac:dyDescent="0.25">
      <c r="A152" s="1" t="s">
        <v>143</v>
      </c>
      <c r="B152" s="1">
        <v>1</v>
      </c>
    </row>
    <row r="153" spans="1:5" x14ac:dyDescent="0.25">
      <c r="A153" s="1" t="s">
        <v>149</v>
      </c>
      <c r="B153" s="1">
        <f>SUM(Tabelle1[1 - leicht])</f>
        <v>63</v>
      </c>
      <c r="C153" s="1">
        <f>SUM(Tabelle1[2 - mittel])</f>
        <v>65</v>
      </c>
      <c r="D153" s="1">
        <f>SUM(Tabelle1[3 - schwierig])</f>
        <v>23</v>
      </c>
      <c r="E153" s="1">
        <f>SUM(B153:D153)</f>
        <v>151</v>
      </c>
    </row>
  </sheetData>
  <pageMargins left="0.7" right="0.7" top="0.78740157499999996" bottom="0.78740157499999996" header="0.3" footer="0.3"/>
  <pageSetup paperSize="9" orientation="portrait" horizontalDpi="0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"/>
  <sheetViews>
    <sheetView workbookViewId="0">
      <selection activeCell="F26" sqref="F26"/>
    </sheetView>
  </sheetViews>
  <sheetFormatPr defaultColWidth="11.5546875" defaultRowHeight="13.8" x14ac:dyDescent="0.25"/>
  <cols>
    <col min="1" max="1" width="32.77734375" style="1" customWidth="1"/>
    <col min="2" max="4" width="16.33203125" style="1" customWidth="1"/>
    <col min="5" max="16384" width="11.5546875" style="1"/>
  </cols>
  <sheetData>
    <row r="1" spans="1:4" x14ac:dyDescent="0.25">
      <c r="A1" s="1" t="s">
        <v>145</v>
      </c>
      <c r="B1" s="1" t="s">
        <v>153</v>
      </c>
      <c r="C1" s="1" t="s">
        <v>154</v>
      </c>
      <c r="D1" s="1" t="s">
        <v>155</v>
      </c>
    </row>
    <row r="2" spans="1:4" x14ac:dyDescent="0.25">
      <c r="A2" s="1" t="s">
        <v>169</v>
      </c>
      <c r="C2" s="1">
        <v>1</v>
      </c>
    </row>
    <row r="3" spans="1:4" x14ac:dyDescent="0.25">
      <c r="A3" s="1" t="s">
        <v>1</v>
      </c>
      <c r="C3" s="1">
        <v>1</v>
      </c>
    </row>
    <row r="4" spans="1:4" x14ac:dyDescent="0.25">
      <c r="A4" s="1" t="s">
        <v>2</v>
      </c>
      <c r="B4" s="1">
        <v>1</v>
      </c>
    </row>
    <row r="5" spans="1:4" x14ac:dyDescent="0.25">
      <c r="A5" s="1" t="s">
        <v>3</v>
      </c>
      <c r="D5" s="1">
        <v>1</v>
      </c>
    </row>
    <row r="6" spans="1:4" x14ac:dyDescent="0.25">
      <c r="A6" s="1" t="s">
        <v>4</v>
      </c>
      <c r="B6" s="1">
        <v>1</v>
      </c>
    </row>
    <row r="7" spans="1:4" x14ac:dyDescent="0.25">
      <c r="A7" s="1" t="s">
        <v>5</v>
      </c>
      <c r="C7" s="1">
        <v>1</v>
      </c>
    </row>
    <row r="8" spans="1:4" x14ac:dyDescent="0.25">
      <c r="A8" s="1" t="s">
        <v>6</v>
      </c>
      <c r="D8" s="1">
        <v>1</v>
      </c>
    </row>
    <row r="9" spans="1:4" x14ac:dyDescent="0.25">
      <c r="A9" s="1" t="s">
        <v>7</v>
      </c>
      <c r="C9" s="1">
        <v>1</v>
      </c>
    </row>
    <row r="10" spans="1:4" x14ac:dyDescent="0.25">
      <c r="A10" s="1" t="s">
        <v>8</v>
      </c>
      <c r="B10" s="1">
        <v>1</v>
      </c>
    </row>
    <row r="11" spans="1:4" x14ac:dyDescent="0.25">
      <c r="A11" s="1" t="s">
        <v>9</v>
      </c>
      <c r="C11" s="1">
        <v>1</v>
      </c>
    </row>
    <row r="12" spans="1:4" x14ac:dyDescent="0.25">
      <c r="A12" s="1" t="s">
        <v>10</v>
      </c>
      <c r="C12" s="1">
        <v>1</v>
      </c>
    </row>
    <row r="13" spans="1:4" x14ac:dyDescent="0.25">
      <c r="A13" s="1" t="s">
        <v>11</v>
      </c>
      <c r="D13" s="1">
        <v>1</v>
      </c>
    </row>
    <row r="14" spans="1:4" x14ac:dyDescent="0.25">
      <c r="A14" s="1" t="s">
        <v>12</v>
      </c>
      <c r="C14" s="1">
        <v>1</v>
      </c>
    </row>
    <row r="15" spans="1:4" x14ac:dyDescent="0.25">
      <c r="A15" s="1" t="s">
        <v>13</v>
      </c>
      <c r="B15" s="1">
        <v>1</v>
      </c>
    </row>
    <row r="16" spans="1:4" x14ac:dyDescent="0.25">
      <c r="A16" s="1" t="s">
        <v>14</v>
      </c>
      <c r="C16" s="1">
        <v>1</v>
      </c>
    </row>
    <row r="17" spans="1:4" x14ac:dyDescent="0.25">
      <c r="A17" s="1" t="s">
        <v>15</v>
      </c>
      <c r="C17" s="1">
        <v>1</v>
      </c>
    </row>
    <row r="18" spans="1:4" x14ac:dyDescent="0.25">
      <c r="A18" s="1" t="s">
        <v>16</v>
      </c>
      <c r="C18" s="1">
        <v>1</v>
      </c>
    </row>
    <row r="19" spans="1:4" x14ac:dyDescent="0.25">
      <c r="A19" s="1" t="s">
        <v>159</v>
      </c>
      <c r="C19" s="1">
        <v>1</v>
      </c>
    </row>
    <row r="20" spans="1:4" x14ac:dyDescent="0.25">
      <c r="A20" s="1" t="s">
        <v>17</v>
      </c>
      <c r="C20" s="1">
        <v>1</v>
      </c>
    </row>
    <row r="21" spans="1:4" x14ac:dyDescent="0.25">
      <c r="A21" s="1" t="s">
        <v>18</v>
      </c>
      <c r="B21" s="1">
        <v>1</v>
      </c>
    </row>
    <row r="22" spans="1:4" x14ac:dyDescent="0.25">
      <c r="A22" s="1" t="s">
        <v>19</v>
      </c>
      <c r="B22" s="1">
        <v>1</v>
      </c>
    </row>
    <row r="23" spans="1:4" x14ac:dyDescent="0.25">
      <c r="A23" s="1" t="s">
        <v>20</v>
      </c>
      <c r="B23" s="1">
        <v>1</v>
      </c>
    </row>
    <row r="24" spans="1:4" x14ac:dyDescent="0.25">
      <c r="A24" s="1" t="s">
        <v>21</v>
      </c>
      <c r="B24" s="1">
        <v>1</v>
      </c>
    </row>
    <row r="25" spans="1:4" x14ac:dyDescent="0.25">
      <c r="A25" s="1" t="s">
        <v>22</v>
      </c>
      <c r="C25" s="1">
        <v>1</v>
      </c>
    </row>
    <row r="26" spans="1:4" x14ac:dyDescent="0.25">
      <c r="A26" s="1" t="s">
        <v>23</v>
      </c>
      <c r="B26" s="1">
        <v>1</v>
      </c>
    </row>
    <row r="27" spans="1:4" x14ac:dyDescent="0.25">
      <c r="A27" s="1" t="s">
        <v>24</v>
      </c>
      <c r="B27" s="1">
        <v>1</v>
      </c>
    </row>
    <row r="28" spans="1:4" x14ac:dyDescent="0.25">
      <c r="A28" s="1" t="s">
        <v>25</v>
      </c>
      <c r="D28" s="1">
        <v>1</v>
      </c>
    </row>
    <row r="29" spans="1:4" x14ac:dyDescent="0.25">
      <c r="A29" s="1" t="s">
        <v>26</v>
      </c>
      <c r="C29" s="1">
        <v>1</v>
      </c>
    </row>
    <row r="30" spans="1:4" x14ac:dyDescent="0.25">
      <c r="A30" s="1" t="s">
        <v>27</v>
      </c>
      <c r="D30" s="1">
        <v>1</v>
      </c>
    </row>
    <row r="31" spans="1:4" x14ac:dyDescent="0.25">
      <c r="A31" s="1" t="s">
        <v>28</v>
      </c>
      <c r="B31" s="1">
        <v>1</v>
      </c>
    </row>
    <row r="32" spans="1:4" x14ac:dyDescent="0.25">
      <c r="A32" s="1" t="s">
        <v>29</v>
      </c>
      <c r="C32" s="1">
        <v>1</v>
      </c>
    </row>
    <row r="33" spans="1:4" x14ac:dyDescent="0.25">
      <c r="A33" s="1" t="s">
        <v>30</v>
      </c>
      <c r="B33" s="1">
        <v>1</v>
      </c>
    </row>
    <row r="34" spans="1:4" x14ac:dyDescent="0.25">
      <c r="A34" s="1" t="s">
        <v>31</v>
      </c>
      <c r="B34" s="1">
        <v>1</v>
      </c>
    </row>
    <row r="35" spans="1:4" x14ac:dyDescent="0.25">
      <c r="A35" s="1" t="s">
        <v>32</v>
      </c>
      <c r="C35" s="1">
        <v>1</v>
      </c>
    </row>
    <row r="36" spans="1:4" x14ac:dyDescent="0.25">
      <c r="A36" s="1" t="s">
        <v>33</v>
      </c>
      <c r="B36" s="1">
        <v>1</v>
      </c>
    </row>
    <row r="37" spans="1:4" x14ac:dyDescent="0.25">
      <c r="A37" s="1" t="s">
        <v>34</v>
      </c>
      <c r="B37" s="1">
        <v>1</v>
      </c>
    </row>
    <row r="38" spans="1:4" x14ac:dyDescent="0.25">
      <c r="A38" s="1" t="s">
        <v>35</v>
      </c>
      <c r="B38" s="1">
        <v>1</v>
      </c>
    </row>
    <row r="39" spans="1:4" x14ac:dyDescent="0.25">
      <c r="A39" s="1" t="s">
        <v>36</v>
      </c>
      <c r="B39" s="1">
        <v>1</v>
      </c>
    </row>
    <row r="40" spans="1:4" x14ac:dyDescent="0.25">
      <c r="A40" s="1" t="s">
        <v>37</v>
      </c>
      <c r="B40" s="1">
        <v>1</v>
      </c>
    </row>
    <row r="41" spans="1:4" x14ac:dyDescent="0.25">
      <c r="A41" s="1" t="s">
        <v>38</v>
      </c>
      <c r="D41" s="1">
        <v>1</v>
      </c>
    </row>
    <row r="42" spans="1:4" x14ac:dyDescent="0.25">
      <c r="A42" s="1" t="s">
        <v>39</v>
      </c>
      <c r="B42" s="1">
        <v>1</v>
      </c>
    </row>
    <row r="43" spans="1:4" x14ac:dyDescent="0.25">
      <c r="A43" s="1" t="s">
        <v>40</v>
      </c>
      <c r="C43" s="1">
        <v>1</v>
      </c>
    </row>
    <row r="44" spans="1:4" x14ac:dyDescent="0.25">
      <c r="A44" s="1" t="s">
        <v>41</v>
      </c>
      <c r="D44" s="1">
        <v>1</v>
      </c>
    </row>
    <row r="45" spans="1:4" x14ac:dyDescent="0.25">
      <c r="A45" s="1" t="s">
        <v>42</v>
      </c>
      <c r="C45" s="1">
        <v>1</v>
      </c>
    </row>
    <row r="46" spans="1:4" x14ac:dyDescent="0.25">
      <c r="A46" s="1" t="s">
        <v>43</v>
      </c>
      <c r="B46" s="1">
        <v>1</v>
      </c>
    </row>
    <row r="47" spans="1:4" x14ac:dyDescent="0.25">
      <c r="A47" s="1" t="s">
        <v>44</v>
      </c>
      <c r="C47" s="1">
        <v>1</v>
      </c>
    </row>
    <row r="48" spans="1:4" x14ac:dyDescent="0.25">
      <c r="A48" s="1" t="s">
        <v>45</v>
      </c>
      <c r="B48" s="1">
        <v>1</v>
      </c>
    </row>
    <row r="49" spans="1:4" x14ac:dyDescent="0.25">
      <c r="A49" s="1" t="s">
        <v>46</v>
      </c>
      <c r="D49" s="1">
        <v>1</v>
      </c>
    </row>
    <row r="50" spans="1:4" x14ac:dyDescent="0.25">
      <c r="A50" s="1" t="s">
        <v>47</v>
      </c>
      <c r="D50" s="1">
        <v>1</v>
      </c>
    </row>
    <row r="51" spans="1:4" x14ac:dyDescent="0.25">
      <c r="A51" s="1" t="s">
        <v>48</v>
      </c>
      <c r="D51" s="1">
        <v>1</v>
      </c>
    </row>
    <row r="52" spans="1:4" x14ac:dyDescent="0.25">
      <c r="A52" s="1" t="s">
        <v>49</v>
      </c>
      <c r="C52" s="1">
        <v>1</v>
      </c>
    </row>
    <row r="53" spans="1:4" x14ac:dyDescent="0.25">
      <c r="A53" s="1" t="s">
        <v>50</v>
      </c>
      <c r="B53" s="1">
        <v>1</v>
      </c>
    </row>
    <row r="54" spans="1:4" x14ac:dyDescent="0.25">
      <c r="A54" s="1" t="s">
        <v>51</v>
      </c>
      <c r="D54" s="1">
        <v>1</v>
      </c>
    </row>
    <row r="55" spans="1:4" x14ac:dyDescent="0.25">
      <c r="A55" s="1" t="s">
        <v>52</v>
      </c>
      <c r="D55" s="1">
        <v>1</v>
      </c>
    </row>
    <row r="56" spans="1:4" x14ac:dyDescent="0.25">
      <c r="A56" s="1" t="s">
        <v>53</v>
      </c>
      <c r="B56" s="1">
        <v>1</v>
      </c>
    </row>
    <row r="57" spans="1:4" x14ac:dyDescent="0.25">
      <c r="A57" s="1" t="s">
        <v>54</v>
      </c>
      <c r="B57" s="1">
        <v>1</v>
      </c>
    </row>
    <row r="58" spans="1:4" x14ac:dyDescent="0.25">
      <c r="A58" s="1" t="s">
        <v>55</v>
      </c>
      <c r="C58" s="1">
        <v>1</v>
      </c>
    </row>
    <row r="59" spans="1:4" x14ac:dyDescent="0.25">
      <c r="A59" s="1" t="s">
        <v>56</v>
      </c>
      <c r="B59" s="1">
        <v>1</v>
      </c>
    </row>
    <row r="60" spans="1:4" x14ac:dyDescent="0.25">
      <c r="A60" s="1" t="s">
        <v>57</v>
      </c>
      <c r="B60" s="1">
        <v>1</v>
      </c>
    </row>
    <row r="61" spans="1:4" x14ac:dyDescent="0.25">
      <c r="A61" s="1" t="s">
        <v>58</v>
      </c>
      <c r="B61" s="1">
        <v>1</v>
      </c>
    </row>
    <row r="62" spans="1:4" x14ac:dyDescent="0.25">
      <c r="A62" s="1" t="s">
        <v>59</v>
      </c>
      <c r="B62" s="1">
        <v>1</v>
      </c>
    </row>
    <row r="63" spans="1:4" x14ac:dyDescent="0.25">
      <c r="A63" s="1" t="s">
        <v>60</v>
      </c>
      <c r="B63" s="1">
        <v>1</v>
      </c>
    </row>
    <row r="64" spans="1:4" x14ac:dyDescent="0.25">
      <c r="A64" s="1" t="s">
        <v>61</v>
      </c>
      <c r="B64" s="1">
        <v>1</v>
      </c>
    </row>
    <row r="65" spans="1:4" x14ac:dyDescent="0.25">
      <c r="A65" s="1" t="s">
        <v>62</v>
      </c>
      <c r="B65" s="1">
        <v>1</v>
      </c>
    </row>
    <row r="66" spans="1:4" x14ac:dyDescent="0.25">
      <c r="A66" s="1" t="s">
        <v>63</v>
      </c>
      <c r="B66" s="1">
        <v>1</v>
      </c>
    </row>
    <row r="67" spans="1:4" x14ac:dyDescent="0.25">
      <c r="A67" s="1" t="s">
        <v>64</v>
      </c>
      <c r="B67" s="1">
        <v>1</v>
      </c>
    </row>
    <row r="68" spans="1:4" x14ac:dyDescent="0.25">
      <c r="A68" s="1" t="s">
        <v>65</v>
      </c>
      <c r="C68" s="1">
        <v>1</v>
      </c>
    </row>
    <row r="69" spans="1:4" x14ac:dyDescent="0.25">
      <c r="A69" s="1" t="s">
        <v>66</v>
      </c>
      <c r="B69" s="1">
        <v>1</v>
      </c>
    </row>
    <row r="70" spans="1:4" x14ac:dyDescent="0.25">
      <c r="A70" s="1" t="s">
        <v>67</v>
      </c>
      <c r="C70" s="1">
        <v>1</v>
      </c>
    </row>
    <row r="71" spans="1:4" x14ac:dyDescent="0.25">
      <c r="A71" s="1" t="s">
        <v>68</v>
      </c>
      <c r="B71" s="1">
        <v>1</v>
      </c>
    </row>
    <row r="72" spans="1:4" x14ac:dyDescent="0.25">
      <c r="A72" s="1" t="s">
        <v>69</v>
      </c>
      <c r="C72" s="1">
        <v>1</v>
      </c>
    </row>
    <row r="73" spans="1:4" x14ac:dyDescent="0.25">
      <c r="A73" s="1" t="s">
        <v>70</v>
      </c>
      <c r="B73" s="1">
        <v>1</v>
      </c>
    </row>
    <row r="74" spans="1:4" x14ac:dyDescent="0.25">
      <c r="A74" s="1" t="s">
        <v>160</v>
      </c>
      <c r="C74" s="1">
        <v>1</v>
      </c>
    </row>
    <row r="75" spans="1:4" x14ac:dyDescent="0.25">
      <c r="A75" s="1" t="s">
        <v>71</v>
      </c>
      <c r="B75" s="1">
        <v>1</v>
      </c>
    </row>
    <row r="76" spans="1:4" x14ac:dyDescent="0.25">
      <c r="A76" s="1" t="s">
        <v>161</v>
      </c>
      <c r="B76" s="1">
        <v>1</v>
      </c>
    </row>
    <row r="77" spans="1:4" x14ac:dyDescent="0.25">
      <c r="A77" s="1" t="s">
        <v>72</v>
      </c>
      <c r="C77" s="1">
        <v>1</v>
      </c>
    </row>
    <row r="78" spans="1:4" x14ac:dyDescent="0.25">
      <c r="A78" s="1" t="s">
        <v>73</v>
      </c>
      <c r="D78" s="1">
        <v>1</v>
      </c>
    </row>
    <row r="79" spans="1:4" x14ac:dyDescent="0.25">
      <c r="A79" s="1" t="s">
        <v>74</v>
      </c>
      <c r="B79" s="1">
        <v>1</v>
      </c>
    </row>
    <row r="80" spans="1:4" x14ac:dyDescent="0.25">
      <c r="A80" s="1" t="s">
        <v>75</v>
      </c>
      <c r="D80" s="1">
        <v>1</v>
      </c>
    </row>
    <row r="81" spans="1:4" x14ac:dyDescent="0.25">
      <c r="A81" s="1" t="s">
        <v>76</v>
      </c>
      <c r="C81" s="1">
        <v>1</v>
      </c>
    </row>
    <row r="82" spans="1:4" x14ac:dyDescent="0.25">
      <c r="A82" s="1" t="s">
        <v>77</v>
      </c>
      <c r="C82" s="1">
        <v>1</v>
      </c>
    </row>
    <row r="83" spans="1:4" x14ac:dyDescent="0.25">
      <c r="A83" s="1" t="s">
        <v>78</v>
      </c>
      <c r="C83" s="1">
        <v>1</v>
      </c>
    </row>
    <row r="84" spans="1:4" x14ac:dyDescent="0.25">
      <c r="A84" s="1" t="s">
        <v>79</v>
      </c>
      <c r="C84" s="1">
        <v>1</v>
      </c>
    </row>
    <row r="85" spans="1:4" x14ac:dyDescent="0.25">
      <c r="A85" s="1" t="s">
        <v>80</v>
      </c>
      <c r="C85" s="1">
        <v>1</v>
      </c>
    </row>
    <row r="86" spans="1:4" x14ac:dyDescent="0.25">
      <c r="A86" s="1" t="s">
        <v>81</v>
      </c>
      <c r="D86" s="1">
        <v>1</v>
      </c>
    </row>
    <row r="87" spans="1:4" x14ac:dyDescent="0.25">
      <c r="A87" s="1" t="s">
        <v>82</v>
      </c>
      <c r="D87" s="1">
        <v>1</v>
      </c>
    </row>
    <row r="88" spans="1:4" x14ac:dyDescent="0.25">
      <c r="A88" s="1" t="s">
        <v>83</v>
      </c>
      <c r="B88" s="1">
        <v>1</v>
      </c>
    </row>
    <row r="89" spans="1:4" x14ac:dyDescent="0.25">
      <c r="A89" s="1" t="s">
        <v>162</v>
      </c>
      <c r="C89" s="1">
        <v>1</v>
      </c>
    </row>
    <row r="90" spans="1:4" x14ac:dyDescent="0.25">
      <c r="A90" s="1" t="s">
        <v>84</v>
      </c>
      <c r="B90" s="1">
        <v>1</v>
      </c>
    </row>
    <row r="91" spans="1:4" x14ac:dyDescent="0.25">
      <c r="A91" s="1" t="s">
        <v>85</v>
      </c>
      <c r="B91" s="1">
        <v>1</v>
      </c>
    </row>
    <row r="92" spans="1:4" x14ac:dyDescent="0.25">
      <c r="A92" s="1" t="s">
        <v>86</v>
      </c>
      <c r="B92" s="1">
        <v>1</v>
      </c>
    </row>
    <row r="93" spans="1:4" x14ac:dyDescent="0.25">
      <c r="A93" s="1" t="s">
        <v>87</v>
      </c>
      <c r="C93" s="1">
        <v>1</v>
      </c>
    </row>
    <row r="94" spans="1:4" x14ac:dyDescent="0.25">
      <c r="A94" s="1" t="s">
        <v>88</v>
      </c>
      <c r="C94" s="1">
        <v>1</v>
      </c>
    </row>
    <row r="95" spans="1:4" x14ac:dyDescent="0.25">
      <c r="A95" s="1" t="s">
        <v>89</v>
      </c>
      <c r="C95" s="1">
        <v>1</v>
      </c>
    </row>
    <row r="96" spans="1:4" x14ac:dyDescent="0.25">
      <c r="A96" s="1" t="s">
        <v>90</v>
      </c>
      <c r="C96" s="1">
        <v>1</v>
      </c>
    </row>
    <row r="97" spans="1:4" x14ac:dyDescent="0.25">
      <c r="A97" s="1" t="s">
        <v>163</v>
      </c>
      <c r="C97" s="1">
        <v>1</v>
      </c>
    </row>
    <row r="98" spans="1:4" x14ac:dyDescent="0.25">
      <c r="A98" s="1" t="s">
        <v>91</v>
      </c>
      <c r="C98" s="1">
        <v>1</v>
      </c>
    </row>
    <row r="99" spans="1:4" x14ac:dyDescent="0.25">
      <c r="A99" s="1" t="s">
        <v>92</v>
      </c>
      <c r="C99" s="1">
        <v>1</v>
      </c>
    </row>
    <row r="100" spans="1:4" x14ac:dyDescent="0.25">
      <c r="A100" s="1" t="s">
        <v>93</v>
      </c>
      <c r="B100" s="1">
        <v>1</v>
      </c>
    </row>
    <row r="101" spans="1:4" x14ac:dyDescent="0.25">
      <c r="A101" s="1" t="s">
        <v>94</v>
      </c>
      <c r="C101" s="1">
        <v>1</v>
      </c>
    </row>
    <row r="102" spans="1:4" x14ac:dyDescent="0.25">
      <c r="A102" s="1" t="s">
        <v>95</v>
      </c>
      <c r="B102" s="1">
        <v>1</v>
      </c>
    </row>
    <row r="103" spans="1:4" x14ac:dyDescent="0.25">
      <c r="A103" s="1" t="s">
        <v>96</v>
      </c>
      <c r="D103" s="1">
        <v>1</v>
      </c>
    </row>
    <row r="104" spans="1:4" x14ac:dyDescent="0.25">
      <c r="A104" s="1" t="s">
        <v>97</v>
      </c>
      <c r="B104" s="1">
        <v>1</v>
      </c>
    </row>
    <row r="105" spans="1:4" x14ac:dyDescent="0.25">
      <c r="A105" s="1" t="s">
        <v>98</v>
      </c>
      <c r="D105" s="1">
        <v>1</v>
      </c>
    </row>
    <row r="106" spans="1:4" x14ac:dyDescent="0.25">
      <c r="A106" s="1" t="s">
        <v>99</v>
      </c>
      <c r="D106" s="1">
        <v>1</v>
      </c>
    </row>
    <row r="107" spans="1:4" x14ac:dyDescent="0.25">
      <c r="A107" s="1" t="s">
        <v>100</v>
      </c>
      <c r="D107" s="1">
        <v>1</v>
      </c>
    </row>
    <row r="108" spans="1:4" x14ac:dyDescent="0.25">
      <c r="A108" s="1" t="s">
        <v>101</v>
      </c>
      <c r="D108" s="1">
        <v>1</v>
      </c>
    </row>
    <row r="109" spans="1:4" x14ac:dyDescent="0.25">
      <c r="A109" s="1" t="s">
        <v>102</v>
      </c>
      <c r="B109" s="1">
        <v>1</v>
      </c>
    </row>
    <row r="110" spans="1:4" x14ac:dyDescent="0.25">
      <c r="A110" s="1" t="s">
        <v>103</v>
      </c>
      <c r="B110" s="1">
        <v>1</v>
      </c>
    </row>
    <row r="111" spans="1:4" x14ac:dyDescent="0.25">
      <c r="A111" s="1" t="s">
        <v>104</v>
      </c>
      <c r="C111" s="1">
        <v>1</v>
      </c>
    </row>
    <row r="112" spans="1:4" x14ac:dyDescent="0.25">
      <c r="A112" s="1" t="s">
        <v>164</v>
      </c>
      <c r="D112" s="1">
        <v>1</v>
      </c>
    </row>
    <row r="113" spans="1:4" x14ac:dyDescent="0.25">
      <c r="A113" s="1" t="s">
        <v>105</v>
      </c>
      <c r="D113" s="1">
        <v>1</v>
      </c>
    </row>
    <row r="114" spans="1:4" x14ac:dyDescent="0.25">
      <c r="A114" s="1" t="s">
        <v>106</v>
      </c>
      <c r="B114" s="1">
        <v>1</v>
      </c>
    </row>
    <row r="115" spans="1:4" x14ac:dyDescent="0.25">
      <c r="A115" s="1" t="s">
        <v>107</v>
      </c>
      <c r="B115" s="1">
        <v>1</v>
      </c>
    </row>
    <row r="116" spans="1:4" x14ac:dyDescent="0.25">
      <c r="A116" s="1" t="s">
        <v>108</v>
      </c>
      <c r="B116" s="1">
        <v>1</v>
      </c>
    </row>
    <row r="117" spans="1:4" x14ac:dyDescent="0.25">
      <c r="A117" s="1" t="s">
        <v>109</v>
      </c>
      <c r="C117" s="1">
        <v>1</v>
      </c>
    </row>
    <row r="118" spans="1:4" x14ac:dyDescent="0.25">
      <c r="A118" s="1" t="s">
        <v>110</v>
      </c>
      <c r="C118" s="1">
        <v>1</v>
      </c>
    </row>
    <row r="119" spans="1:4" x14ac:dyDescent="0.25">
      <c r="A119" s="1" t="s">
        <v>111</v>
      </c>
      <c r="D119" s="1">
        <v>1</v>
      </c>
    </row>
    <row r="120" spans="1:4" x14ac:dyDescent="0.25">
      <c r="A120" s="1" t="s">
        <v>112</v>
      </c>
      <c r="D120" s="1">
        <v>1</v>
      </c>
    </row>
    <row r="121" spans="1:4" x14ac:dyDescent="0.25">
      <c r="A121" s="1" t="s">
        <v>113</v>
      </c>
      <c r="C121" s="1">
        <v>1</v>
      </c>
    </row>
    <row r="122" spans="1:4" x14ac:dyDescent="0.25">
      <c r="A122" s="1" t="s">
        <v>114</v>
      </c>
      <c r="D122" s="1">
        <v>1</v>
      </c>
    </row>
    <row r="123" spans="1:4" x14ac:dyDescent="0.25">
      <c r="A123" s="1" t="s">
        <v>115</v>
      </c>
      <c r="B123" s="1">
        <v>1</v>
      </c>
    </row>
    <row r="124" spans="1:4" x14ac:dyDescent="0.25">
      <c r="A124" s="1" t="s">
        <v>116</v>
      </c>
      <c r="B124" s="1">
        <v>1</v>
      </c>
    </row>
    <row r="125" spans="1:4" x14ac:dyDescent="0.25">
      <c r="A125" s="1" t="s">
        <v>117</v>
      </c>
      <c r="D125" s="1">
        <v>1</v>
      </c>
    </row>
    <row r="126" spans="1:4" x14ac:dyDescent="0.25">
      <c r="A126" s="1" t="s">
        <v>118</v>
      </c>
      <c r="C126" s="1">
        <v>1</v>
      </c>
    </row>
    <row r="127" spans="1:4" x14ac:dyDescent="0.25">
      <c r="A127" s="1" t="s">
        <v>119</v>
      </c>
      <c r="B127" s="1">
        <v>1</v>
      </c>
    </row>
    <row r="128" spans="1:4" x14ac:dyDescent="0.25">
      <c r="A128" s="1" t="s">
        <v>120</v>
      </c>
      <c r="C128" s="1">
        <v>1</v>
      </c>
    </row>
    <row r="129" spans="1:4" x14ac:dyDescent="0.25">
      <c r="A129" s="1" t="s">
        <v>121</v>
      </c>
      <c r="B129" s="1">
        <v>1</v>
      </c>
    </row>
    <row r="130" spans="1:4" x14ac:dyDescent="0.25">
      <c r="A130" s="1" t="s">
        <v>122</v>
      </c>
      <c r="B130" s="1">
        <v>1</v>
      </c>
    </row>
    <row r="131" spans="1:4" x14ac:dyDescent="0.25">
      <c r="A131" s="1" t="s">
        <v>123</v>
      </c>
      <c r="C131" s="1">
        <v>1</v>
      </c>
    </row>
    <row r="132" spans="1:4" x14ac:dyDescent="0.25">
      <c r="A132" s="1" t="s">
        <v>124</v>
      </c>
      <c r="C132" s="1">
        <v>1</v>
      </c>
    </row>
    <row r="133" spans="1:4" x14ac:dyDescent="0.25">
      <c r="A133" s="1" t="s">
        <v>125</v>
      </c>
      <c r="B133" s="1">
        <v>1</v>
      </c>
    </row>
    <row r="134" spans="1:4" x14ac:dyDescent="0.25">
      <c r="A134" s="1" t="s">
        <v>126</v>
      </c>
      <c r="D134" s="1">
        <v>1</v>
      </c>
    </row>
    <row r="135" spans="1:4" x14ac:dyDescent="0.25">
      <c r="A135" s="1" t="s">
        <v>127</v>
      </c>
      <c r="C135" s="1">
        <v>1</v>
      </c>
    </row>
    <row r="136" spans="1:4" x14ac:dyDescent="0.25">
      <c r="A136" s="1" t="s">
        <v>128</v>
      </c>
      <c r="B136" s="1">
        <v>1</v>
      </c>
    </row>
    <row r="137" spans="1:4" x14ac:dyDescent="0.25">
      <c r="A137" s="1" t="s">
        <v>129</v>
      </c>
      <c r="B137" s="1">
        <v>1</v>
      </c>
    </row>
    <row r="138" spans="1:4" x14ac:dyDescent="0.25">
      <c r="A138" s="1" t="s">
        <v>130</v>
      </c>
      <c r="B138" s="1">
        <v>1</v>
      </c>
    </row>
    <row r="139" spans="1:4" x14ac:dyDescent="0.25">
      <c r="A139" s="1" t="s">
        <v>131</v>
      </c>
      <c r="B139" s="1">
        <v>1</v>
      </c>
    </row>
    <row r="140" spans="1:4" x14ac:dyDescent="0.25">
      <c r="A140" s="1" t="s">
        <v>132</v>
      </c>
      <c r="C140" s="1">
        <v>1</v>
      </c>
    </row>
    <row r="141" spans="1:4" x14ac:dyDescent="0.25">
      <c r="A141" s="1" t="s">
        <v>133</v>
      </c>
      <c r="C141" s="1">
        <v>1</v>
      </c>
    </row>
    <row r="142" spans="1:4" x14ac:dyDescent="0.25">
      <c r="A142" s="1" t="s">
        <v>134</v>
      </c>
      <c r="C142" s="1">
        <v>1</v>
      </c>
    </row>
    <row r="143" spans="1:4" x14ac:dyDescent="0.25">
      <c r="A143" s="1" t="s">
        <v>135</v>
      </c>
      <c r="D143" s="1">
        <v>1</v>
      </c>
    </row>
    <row r="144" spans="1:4" x14ac:dyDescent="0.25">
      <c r="A144" s="1" t="s">
        <v>136</v>
      </c>
      <c r="D144" s="1">
        <v>1</v>
      </c>
    </row>
    <row r="145" spans="1:5" x14ac:dyDescent="0.25">
      <c r="A145" s="1" t="s">
        <v>137</v>
      </c>
      <c r="C145" s="1">
        <v>1</v>
      </c>
    </row>
    <row r="146" spans="1:5" x14ac:dyDescent="0.25">
      <c r="A146" s="1" t="s">
        <v>138</v>
      </c>
      <c r="B146" s="1">
        <v>1</v>
      </c>
    </row>
    <row r="147" spans="1:5" x14ac:dyDescent="0.25">
      <c r="A147" s="1" t="s">
        <v>139</v>
      </c>
      <c r="D147" s="1">
        <v>1</v>
      </c>
    </row>
    <row r="148" spans="1:5" x14ac:dyDescent="0.25">
      <c r="A148" s="1" t="s">
        <v>140</v>
      </c>
      <c r="B148" s="1">
        <v>1</v>
      </c>
    </row>
    <row r="149" spans="1:5" x14ac:dyDescent="0.25">
      <c r="A149" s="1" t="s">
        <v>141</v>
      </c>
      <c r="B149" s="1">
        <v>1</v>
      </c>
    </row>
    <row r="150" spans="1:5" x14ac:dyDescent="0.25">
      <c r="A150" s="1" t="s">
        <v>142</v>
      </c>
      <c r="D150" s="1">
        <v>1</v>
      </c>
    </row>
    <row r="151" spans="1:5" x14ac:dyDescent="0.25">
      <c r="A151" s="1" t="s">
        <v>143</v>
      </c>
      <c r="B151" s="1">
        <v>1</v>
      </c>
    </row>
    <row r="152" spans="1:5" x14ac:dyDescent="0.25">
      <c r="A152" s="1" t="s">
        <v>144</v>
      </c>
      <c r="C152" s="1">
        <v>1</v>
      </c>
    </row>
    <row r="153" spans="1:5" x14ac:dyDescent="0.25">
      <c r="A153" s="1" t="s">
        <v>149</v>
      </c>
      <c r="B153" s="1">
        <f>SUM(Tabelle2[1-selten])</f>
        <v>65</v>
      </c>
      <c r="C153" s="1">
        <f>SUM(Tabelle2[2-häufig])</f>
        <v>54</v>
      </c>
      <c r="D153" s="1">
        <f>SUM(Tabelle2[3-sehr häufig])</f>
        <v>32</v>
      </c>
      <c r="E153" s="1">
        <f>SUM(B153:D153)</f>
        <v>151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"/>
  <sheetViews>
    <sheetView workbookViewId="0">
      <selection activeCell="I27" sqref="I27"/>
    </sheetView>
  </sheetViews>
  <sheetFormatPr defaultColWidth="11.5546875" defaultRowHeight="13.8" x14ac:dyDescent="0.25"/>
  <cols>
    <col min="1" max="1" width="41.21875" style="1" customWidth="1"/>
    <col min="2" max="4" width="16.5546875" style="1" customWidth="1"/>
    <col min="5" max="16384" width="11.5546875" style="1"/>
  </cols>
  <sheetData>
    <row r="1" spans="1:4" x14ac:dyDescent="0.25">
      <c r="A1" s="1" t="s">
        <v>146</v>
      </c>
      <c r="B1" s="1" t="s">
        <v>153</v>
      </c>
      <c r="C1" s="1" t="s">
        <v>154</v>
      </c>
      <c r="D1" s="1" t="s">
        <v>155</v>
      </c>
    </row>
    <row r="2" spans="1:4" x14ac:dyDescent="0.25">
      <c r="A2" s="1" t="s">
        <v>169</v>
      </c>
      <c r="D2" s="1">
        <v>1</v>
      </c>
    </row>
    <row r="3" spans="1:4" x14ac:dyDescent="0.25">
      <c r="A3" s="1" t="s">
        <v>1</v>
      </c>
      <c r="B3" s="1">
        <v>1</v>
      </c>
    </row>
    <row r="4" spans="1:4" x14ac:dyDescent="0.25">
      <c r="A4" s="1" t="s">
        <v>2</v>
      </c>
      <c r="B4" s="1">
        <v>1</v>
      </c>
    </row>
    <row r="5" spans="1:4" x14ac:dyDescent="0.25">
      <c r="A5" s="1" t="s">
        <v>3</v>
      </c>
      <c r="D5" s="1">
        <v>1</v>
      </c>
    </row>
    <row r="6" spans="1:4" x14ac:dyDescent="0.25">
      <c r="A6" s="1" t="s">
        <v>4</v>
      </c>
      <c r="B6" s="1">
        <v>1</v>
      </c>
    </row>
    <row r="7" spans="1:4" x14ac:dyDescent="0.25">
      <c r="A7" s="1" t="s">
        <v>5</v>
      </c>
      <c r="C7" s="1">
        <v>1</v>
      </c>
    </row>
    <row r="8" spans="1:4" x14ac:dyDescent="0.25">
      <c r="A8" s="1" t="s">
        <v>6</v>
      </c>
      <c r="B8" s="1">
        <v>1</v>
      </c>
    </row>
    <row r="9" spans="1:4" x14ac:dyDescent="0.25">
      <c r="A9" s="1" t="s">
        <v>7</v>
      </c>
      <c r="B9" s="1">
        <v>1</v>
      </c>
    </row>
    <row r="10" spans="1:4" x14ac:dyDescent="0.25">
      <c r="A10" s="1" t="s">
        <v>8</v>
      </c>
      <c r="B10" s="1">
        <v>1</v>
      </c>
    </row>
    <row r="11" spans="1:4" x14ac:dyDescent="0.25">
      <c r="A11" s="1" t="s">
        <v>9</v>
      </c>
      <c r="B11" s="1">
        <v>1</v>
      </c>
    </row>
    <row r="12" spans="1:4" x14ac:dyDescent="0.25">
      <c r="A12" s="1" t="s">
        <v>10</v>
      </c>
      <c r="C12" s="1">
        <v>1</v>
      </c>
    </row>
    <row r="13" spans="1:4" x14ac:dyDescent="0.25">
      <c r="A13" s="1" t="s">
        <v>11</v>
      </c>
      <c r="C13" s="1">
        <v>1</v>
      </c>
    </row>
    <row r="14" spans="1:4" x14ac:dyDescent="0.25">
      <c r="A14" s="1" t="s">
        <v>12</v>
      </c>
      <c r="D14" s="1">
        <v>1</v>
      </c>
    </row>
    <row r="15" spans="1:4" x14ac:dyDescent="0.25">
      <c r="A15" s="1" t="s">
        <v>13</v>
      </c>
      <c r="D15" s="1">
        <v>1</v>
      </c>
    </row>
    <row r="16" spans="1:4" x14ac:dyDescent="0.25">
      <c r="A16" s="1" t="s">
        <v>14</v>
      </c>
      <c r="B16" s="1">
        <v>1</v>
      </c>
    </row>
    <row r="17" spans="1:4" x14ac:dyDescent="0.25">
      <c r="A17" s="1" t="s">
        <v>15</v>
      </c>
      <c r="D17" s="1">
        <v>1</v>
      </c>
    </row>
    <row r="18" spans="1:4" x14ac:dyDescent="0.25">
      <c r="A18" s="1" t="s">
        <v>16</v>
      </c>
      <c r="D18" s="1">
        <v>1</v>
      </c>
    </row>
    <row r="19" spans="1:4" x14ac:dyDescent="0.25">
      <c r="A19" s="1" t="s">
        <v>159</v>
      </c>
      <c r="D19" s="1">
        <v>1</v>
      </c>
    </row>
    <row r="20" spans="1:4" x14ac:dyDescent="0.25">
      <c r="A20" s="1" t="s">
        <v>17</v>
      </c>
      <c r="D20" s="1">
        <v>1</v>
      </c>
    </row>
    <row r="21" spans="1:4" x14ac:dyDescent="0.25">
      <c r="A21" s="1" t="s">
        <v>18</v>
      </c>
      <c r="B21" s="1">
        <v>1</v>
      </c>
    </row>
    <row r="22" spans="1:4" x14ac:dyDescent="0.25">
      <c r="A22" s="1" t="s">
        <v>19</v>
      </c>
      <c r="B22" s="1">
        <v>1</v>
      </c>
    </row>
    <row r="23" spans="1:4" x14ac:dyDescent="0.25">
      <c r="A23" s="1" t="s">
        <v>20</v>
      </c>
      <c r="B23" s="1">
        <v>1</v>
      </c>
    </row>
    <row r="24" spans="1:4" x14ac:dyDescent="0.25">
      <c r="A24" s="1" t="s">
        <v>21</v>
      </c>
      <c r="C24" s="1">
        <v>1</v>
      </c>
    </row>
    <row r="25" spans="1:4" x14ac:dyDescent="0.25">
      <c r="A25" s="1" t="s">
        <v>22</v>
      </c>
      <c r="B25" s="1">
        <v>1</v>
      </c>
    </row>
    <row r="26" spans="1:4" x14ac:dyDescent="0.25">
      <c r="A26" s="1" t="s">
        <v>23</v>
      </c>
      <c r="C26" s="1">
        <v>1</v>
      </c>
    </row>
    <row r="27" spans="1:4" x14ac:dyDescent="0.25">
      <c r="A27" s="1" t="s">
        <v>24</v>
      </c>
      <c r="B27" s="1">
        <v>1</v>
      </c>
    </row>
    <row r="28" spans="1:4" x14ac:dyDescent="0.25">
      <c r="A28" s="1" t="s">
        <v>25</v>
      </c>
      <c r="C28" s="1">
        <v>1</v>
      </c>
    </row>
    <row r="29" spans="1:4" x14ac:dyDescent="0.25">
      <c r="A29" s="1" t="s">
        <v>27</v>
      </c>
      <c r="D29" s="1">
        <v>1</v>
      </c>
    </row>
    <row r="30" spans="1:4" x14ac:dyDescent="0.25">
      <c r="A30" s="1" t="s">
        <v>26</v>
      </c>
      <c r="B30" s="1">
        <v>1</v>
      </c>
    </row>
    <row r="31" spans="1:4" x14ac:dyDescent="0.25">
      <c r="A31" s="1" t="s">
        <v>28</v>
      </c>
      <c r="B31" s="1">
        <v>1</v>
      </c>
    </row>
    <row r="32" spans="1:4" x14ac:dyDescent="0.25">
      <c r="A32" s="1" t="s">
        <v>29</v>
      </c>
      <c r="C32" s="1">
        <v>1</v>
      </c>
    </row>
    <row r="33" spans="1:4" x14ac:dyDescent="0.25">
      <c r="A33" s="1" t="s">
        <v>30</v>
      </c>
      <c r="C33" s="1">
        <v>1</v>
      </c>
    </row>
    <row r="34" spans="1:4" x14ac:dyDescent="0.25">
      <c r="A34" s="1" t="s">
        <v>31</v>
      </c>
      <c r="D34" s="1">
        <v>1</v>
      </c>
    </row>
    <row r="35" spans="1:4" x14ac:dyDescent="0.25">
      <c r="A35" s="1" t="s">
        <v>32</v>
      </c>
      <c r="B35" s="1">
        <v>1</v>
      </c>
    </row>
    <row r="36" spans="1:4" x14ac:dyDescent="0.25">
      <c r="A36" s="1" t="s">
        <v>33</v>
      </c>
      <c r="C36" s="1">
        <v>1</v>
      </c>
    </row>
    <row r="37" spans="1:4" x14ac:dyDescent="0.25">
      <c r="A37" s="1" t="s">
        <v>34</v>
      </c>
      <c r="D37" s="1">
        <v>1</v>
      </c>
    </row>
    <row r="38" spans="1:4" x14ac:dyDescent="0.25">
      <c r="A38" s="1" t="s">
        <v>35</v>
      </c>
      <c r="D38" s="1">
        <v>1</v>
      </c>
    </row>
    <row r="39" spans="1:4" x14ac:dyDescent="0.25">
      <c r="A39" s="1" t="s">
        <v>36</v>
      </c>
      <c r="C39" s="1">
        <v>1</v>
      </c>
    </row>
    <row r="40" spans="1:4" x14ac:dyDescent="0.25">
      <c r="A40" s="1" t="s">
        <v>37</v>
      </c>
      <c r="B40" s="1">
        <v>1</v>
      </c>
    </row>
    <row r="41" spans="1:4" x14ac:dyDescent="0.25">
      <c r="A41" s="1" t="s">
        <v>38</v>
      </c>
      <c r="D41" s="1">
        <v>1</v>
      </c>
    </row>
    <row r="42" spans="1:4" x14ac:dyDescent="0.25">
      <c r="A42" s="1" t="s">
        <v>39</v>
      </c>
      <c r="C42" s="1">
        <v>1</v>
      </c>
    </row>
    <row r="43" spans="1:4" x14ac:dyDescent="0.25">
      <c r="A43" s="1" t="s">
        <v>40</v>
      </c>
      <c r="C43" s="1">
        <v>1</v>
      </c>
    </row>
    <row r="44" spans="1:4" x14ac:dyDescent="0.25">
      <c r="A44" s="1" t="s">
        <v>41</v>
      </c>
      <c r="D44" s="1">
        <v>1</v>
      </c>
    </row>
    <row r="45" spans="1:4" x14ac:dyDescent="0.25">
      <c r="A45" s="1" t="s">
        <v>42</v>
      </c>
      <c r="C45" s="1">
        <v>1</v>
      </c>
    </row>
    <row r="46" spans="1:4" x14ac:dyDescent="0.25">
      <c r="A46" s="1" t="s">
        <v>43</v>
      </c>
      <c r="B46" s="1">
        <v>1</v>
      </c>
    </row>
    <row r="47" spans="1:4" x14ac:dyDescent="0.25">
      <c r="A47" s="1" t="s">
        <v>44</v>
      </c>
      <c r="B47" s="1">
        <v>1</v>
      </c>
    </row>
    <row r="48" spans="1:4" x14ac:dyDescent="0.25">
      <c r="A48" s="1" t="s">
        <v>45</v>
      </c>
      <c r="B48" s="1">
        <v>1</v>
      </c>
    </row>
    <row r="49" spans="1:4" x14ac:dyDescent="0.25">
      <c r="A49" s="1" t="s">
        <v>46</v>
      </c>
      <c r="B49" s="1">
        <v>1</v>
      </c>
    </row>
    <row r="50" spans="1:4" x14ac:dyDescent="0.25">
      <c r="A50" s="1" t="s">
        <v>47</v>
      </c>
      <c r="B50" s="1">
        <v>1</v>
      </c>
    </row>
    <row r="51" spans="1:4" x14ac:dyDescent="0.25">
      <c r="A51" s="1" t="s">
        <v>48</v>
      </c>
      <c r="B51" s="1">
        <v>1</v>
      </c>
    </row>
    <row r="52" spans="1:4" x14ac:dyDescent="0.25">
      <c r="A52" s="1" t="s">
        <v>49</v>
      </c>
      <c r="B52" s="1">
        <v>1</v>
      </c>
    </row>
    <row r="53" spans="1:4" x14ac:dyDescent="0.25">
      <c r="A53" s="1" t="s">
        <v>50</v>
      </c>
      <c r="B53" s="1">
        <v>1</v>
      </c>
    </row>
    <row r="54" spans="1:4" x14ac:dyDescent="0.25">
      <c r="A54" s="1" t="s">
        <v>51</v>
      </c>
      <c r="D54" s="1">
        <v>1</v>
      </c>
    </row>
    <row r="55" spans="1:4" x14ac:dyDescent="0.25">
      <c r="A55" s="1" t="s">
        <v>52</v>
      </c>
      <c r="D55" s="1">
        <v>1</v>
      </c>
    </row>
    <row r="56" spans="1:4" x14ac:dyDescent="0.25">
      <c r="A56" s="1" t="s">
        <v>53</v>
      </c>
      <c r="D56" s="1">
        <v>1</v>
      </c>
    </row>
    <row r="57" spans="1:4" x14ac:dyDescent="0.25">
      <c r="A57" s="1" t="s">
        <v>54</v>
      </c>
      <c r="B57" s="1">
        <v>1</v>
      </c>
    </row>
    <row r="58" spans="1:4" x14ac:dyDescent="0.25">
      <c r="A58" s="1" t="s">
        <v>55</v>
      </c>
      <c r="B58" s="1">
        <v>1</v>
      </c>
    </row>
    <row r="59" spans="1:4" x14ac:dyDescent="0.25">
      <c r="A59" s="1" t="s">
        <v>56</v>
      </c>
      <c r="C59" s="1">
        <v>1</v>
      </c>
    </row>
    <row r="60" spans="1:4" x14ac:dyDescent="0.25">
      <c r="A60" s="1" t="s">
        <v>57</v>
      </c>
      <c r="C60" s="1">
        <v>1</v>
      </c>
    </row>
    <row r="61" spans="1:4" x14ac:dyDescent="0.25">
      <c r="A61" s="1" t="s">
        <v>58</v>
      </c>
      <c r="C61" s="1">
        <v>1</v>
      </c>
    </row>
    <row r="62" spans="1:4" x14ac:dyDescent="0.25">
      <c r="A62" s="1" t="s">
        <v>59</v>
      </c>
      <c r="D62" s="1">
        <v>1</v>
      </c>
    </row>
    <row r="63" spans="1:4" x14ac:dyDescent="0.25">
      <c r="A63" s="1" t="s">
        <v>60</v>
      </c>
      <c r="D63" s="1">
        <v>1</v>
      </c>
    </row>
    <row r="64" spans="1:4" x14ac:dyDescent="0.25">
      <c r="A64" s="1" t="s">
        <v>61</v>
      </c>
      <c r="B64" s="1">
        <v>1</v>
      </c>
    </row>
    <row r="65" spans="1:4" x14ac:dyDescent="0.25">
      <c r="A65" s="1" t="s">
        <v>62</v>
      </c>
      <c r="B65" s="1">
        <v>1</v>
      </c>
    </row>
    <row r="66" spans="1:4" x14ac:dyDescent="0.25">
      <c r="A66" s="1" t="s">
        <v>63</v>
      </c>
      <c r="B66" s="1">
        <v>1</v>
      </c>
    </row>
    <row r="67" spans="1:4" x14ac:dyDescent="0.25">
      <c r="A67" s="1" t="s">
        <v>64</v>
      </c>
      <c r="B67" s="1">
        <v>1</v>
      </c>
    </row>
    <row r="68" spans="1:4" x14ac:dyDescent="0.25">
      <c r="A68" s="1" t="s">
        <v>65</v>
      </c>
      <c r="D68" s="1">
        <v>1</v>
      </c>
    </row>
    <row r="69" spans="1:4" x14ac:dyDescent="0.25">
      <c r="A69" s="1" t="s">
        <v>66</v>
      </c>
      <c r="B69" s="1">
        <v>1</v>
      </c>
    </row>
    <row r="70" spans="1:4" x14ac:dyDescent="0.25">
      <c r="A70" s="1" t="s">
        <v>67</v>
      </c>
      <c r="C70" s="1">
        <v>1</v>
      </c>
    </row>
    <row r="71" spans="1:4" x14ac:dyDescent="0.25">
      <c r="A71" s="1" t="s">
        <v>68</v>
      </c>
      <c r="C71" s="1">
        <v>1</v>
      </c>
    </row>
    <row r="72" spans="1:4" x14ac:dyDescent="0.25">
      <c r="A72" s="1" t="s">
        <v>69</v>
      </c>
      <c r="C72" s="1">
        <v>1</v>
      </c>
    </row>
    <row r="73" spans="1:4" x14ac:dyDescent="0.25">
      <c r="A73" s="1" t="s">
        <v>70</v>
      </c>
      <c r="B73" s="1">
        <v>1</v>
      </c>
    </row>
    <row r="74" spans="1:4" x14ac:dyDescent="0.25">
      <c r="A74" s="1" t="s">
        <v>160</v>
      </c>
      <c r="B74" s="1">
        <v>1</v>
      </c>
    </row>
    <row r="75" spans="1:4" x14ac:dyDescent="0.25">
      <c r="A75" s="1" t="s">
        <v>71</v>
      </c>
      <c r="C75" s="1">
        <v>1</v>
      </c>
    </row>
    <row r="76" spans="1:4" x14ac:dyDescent="0.25">
      <c r="A76" s="1" t="s">
        <v>161</v>
      </c>
      <c r="B76" s="1">
        <v>1</v>
      </c>
    </row>
    <row r="77" spans="1:4" x14ac:dyDescent="0.25">
      <c r="A77" s="1" t="s">
        <v>72</v>
      </c>
      <c r="C77" s="1">
        <v>1</v>
      </c>
    </row>
    <row r="78" spans="1:4" x14ac:dyDescent="0.25">
      <c r="A78" s="1" t="s">
        <v>73</v>
      </c>
      <c r="B78" s="1">
        <v>1</v>
      </c>
    </row>
    <row r="79" spans="1:4" x14ac:dyDescent="0.25">
      <c r="A79" s="1" t="s">
        <v>74</v>
      </c>
      <c r="B79" s="1">
        <v>1</v>
      </c>
    </row>
    <row r="80" spans="1:4" x14ac:dyDescent="0.25">
      <c r="A80" s="1" t="s">
        <v>75</v>
      </c>
      <c r="B80" s="1">
        <v>1</v>
      </c>
    </row>
    <row r="81" spans="1:4" x14ac:dyDescent="0.25">
      <c r="A81" s="1" t="s">
        <v>76</v>
      </c>
      <c r="B81" s="1">
        <v>1</v>
      </c>
    </row>
    <row r="82" spans="1:4" x14ac:dyDescent="0.25">
      <c r="A82" s="1" t="s">
        <v>77</v>
      </c>
      <c r="C82" s="1">
        <v>1</v>
      </c>
    </row>
    <row r="83" spans="1:4" x14ac:dyDescent="0.25">
      <c r="A83" s="1" t="s">
        <v>78</v>
      </c>
      <c r="C83" s="1">
        <v>1</v>
      </c>
    </row>
    <row r="84" spans="1:4" x14ac:dyDescent="0.25">
      <c r="A84" s="1" t="s">
        <v>79</v>
      </c>
      <c r="C84" s="1">
        <v>1</v>
      </c>
    </row>
    <row r="85" spans="1:4" x14ac:dyDescent="0.25">
      <c r="A85" s="1" t="s">
        <v>80</v>
      </c>
      <c r="B85" s="1">
        <v>1</v>
      </c>
    </row>
    <row r="86" spans="1:4" x14ac:dyDescent="0.25">
      <c r="A86" s="1" t="s">
        <v>81</v>
      </c>
      <c r="C86" s="1">
        <v>1</v>
      </c>
    </row>
    <row r="87" spans="1:4" x14ac:dyDescent="0.25">
      <c r="A87" s="1" t="s">
        <v>82</v>
      </c>
      <c r="D87" s="1">
        <v>1</v>
      </c>
    </row>
    <row r="88" spans="1:4" x14ac:dyDescent="0.25">
      <c r="A88" s="1" t="s">
        <v>83</v>
      </c>
      <c r="D88" s="1">
        <v>1</v>
      </c>
    </row>
    <row r="89" spans="1:4" x14ac:dyDescent="0.25">
      <c r="A89" s="1" t="s">
        <v>162</v>
      </c>
      <c r="C89" s="1">
        <v>1</v>
      </c>
    </row>
    <row r="90" spans="1:4" x14ac:dyDescent="0.25">
      <c r="A90" s="1" t="s">
        <v>84</v>
      </c>
      <c r="D90" s="1">
        <v>1</v>
      </c>
    </row>
    <row r="91" spans="1:4" x14ac:dyDescent="0.25">
      <c r="A91" s="1" t="s">
        <v>86</v>
      </c>
      <c r="B91" s="1">
        <v>1</v>
      </c>
    </row>
    <row r="92" spans="1:4" x14ac:dyDescent="0.25">
      <c r="A92" s="1" t="s">
        <v>85</v>
      </c>
      <c r="B92" s="1">
        <v>1</v>
      </c>
    </row>
    <row r="93" spans="1:4" x14ac:dyDescent="0.25">
      <c r="A93" s="1" t="s">
        <v>87</v>
      </c>
      <c r="D93" s="1">
        <v>1</v>
      </c>
    </row>
    <row r="94" spans="1:4" x14ac:dyDescent="0.25">
      <c r="A94" s="1" t="s">
        <v>89</v>
      </c>
      <c r="B94" s="1">
        <v>1</v>
      </c>
    </row>
    <row r="95" spans="1:4" x14ac:dyDescent="0.25">
      <c r="A95" s="1" t="s">
        <v>90</v>
      </c>
      <c r="B95" s="1">
        <v>1</v>
      </c>
    </row>
    <row r="96" spans="1:4" x14ac:dyDescent="0.25">
      <c r="A96" s="1" t="s">
        <v>163</v>
      </c>
      <c r="B96" s="1">
        <v>1</v>
      </c>
    </row>
    <row r="97" spans="1:4" x14ac:dyDescent="0.25">
      <c r="A97" s="1" t="s">
        <v>88</v>
      </c>
      <c r="C97" s="1">
        <v>1</v>
      </c>
    </row>
    <row r="98" spans="1:4" x14ac:dyDescent="0.25">
      <c r="A98" s="1" t="s">
        <v>96</v>
      </c>
      <c r="C98" s="1">
        <v>1</v>
      </c>
    </row>
    <row r="99" spans="1:4" x14ac:dyDescent="0.25">
      <c r="A99" s="1" t="s">
        <v>91</v>
      </c>
      <c r="B99" s="1">
        <v>1</v>
      </c>
    </row>
    <row r="100" spans="1:4" x14ac:dyDescent="0.25">
      <c r="A100" s="1" t="s">
        <v>92</v>
      </c>
      <c r="D100" s="1">
        <v>1</v>
      </c>
    </row>
    <row r="101" spans="1:4" x14ac:dyDescent="0.25">
      <c r="A101" s="1" t="s">
        <v>93</v>
      </c>
      <c r="C101" s="1">
        <v>1</v>
      </c>
    </row>
    <row r="102" spans="1:4" x14ac:dyDescent="0.25">
      <c r="A102" s="1" t="s">
        <v>94</v>
      </c>
      <c r="C102" s="1">
        <v>1</v>
      </c>
    </row>
    <row r="103" spans="1:4" x14ac:dyDescent="0.25">
      <c r="A103" s="1" t="s">
        <v>95</v>
      </c>
      <c r="B103" s="1">
        <v>1</v>
      </c>
    </row>
    <row r="104" spans="1:4" x14ac:dyDescent="0.25">
      <c r="A104" s="1" t="s">
        <v>97</v>
      </c>
      <c r="B104" s="1">
        <v>1</v>
      </c>
    </row>
    <row r="105" spans="1:4" x14ac:dyDescent="0.25">
      <c r="A105" s="1" t="s">
        <v>144</v>
      </c>
      <c r="B105" s="1">
        <v>1</v>
      </c>
    </row>
    <row r="106" spans="1:4" x14ac:dyDescent="0.25">
      <c r="A106" s="1" t="s">
        <v>98</v>
      </c>
      <c r="B106" s="1">
        <v>1</v>
      </c>
    </row>
    <row r="107" spans="1:4" x14ac:dyDescent="0.25">
      <c r="A107" s="1" t="s">
        <v>99</v>
      </c>
      <c r="D107" s="1">
        <v>1</v>
      </c>
    </row>
    <row r="108" spans="1:4" x14ac:dyDescent="0.25">
      <c r="A108" s="1" t="s">
        <v>100</v>
      </c>
      <c r="D108" s="1">
        <v>1</v>
      </c>
    </row>
    <row r="109" spans="1:4" x14ac:dyDescent="0.25">
      <c r="A109" s="1" t="s">
        <v>101</v>
      </c>
      <c r="D109" s="1">
        <v>1</v>
      </c>
    </row>
    <row r="110" spans="1:4" x14ac:dyDescent="0.25">
      <c r="A110" s="1" t="s">
        <v>102</v>
      </c>
      <c r="B110" s="1">
        <v>1</v>
      </c>
    </row>
    <row r="111" spans="1:4" x14ac:dyDescent="0.25">
      <c r="A111" s="1" t="s">
        <v>103</v>
      </c>
      <c r="D111" s="1">
        <v>1</v>
      </c>
    </row>
    <row r="112" spans="1:4" x14ac:dyDescent="0.25">
      <c r="A112" s="1" t="s">
        <v>104</v>
      </c>
      <c r="C112" s="1">
        <v>1</v>
      </c>
    </row>
    <row r="113" spans="1:4" x14ac:dyDescent="0.25">
      <c r="A113" s="1" t="s">
        <v>164</v>
      </c>
      <c r="B113" s="1">
        <v>1</v>
      </c>
    </row>
    <row r="114" spans="1:4" x14ac:dyDescent="0.25">
      <c r="A114" s="1" t="s">
        <v>105</v>
      </c>
      <c r="C114" s="1">
        <v>1</v>
      </c>
    </row>
    <row r="115" spans="1:4" x14ac:dyDescent="0.25">
      <c r="A115" s="1" t="s">
        <v>106</v>
      </c>
      <c r="B115" s="1">
        <v>1</v>
      </c>
    </row>
    <row r="116" spans="1:4" x14ac:dyDescent="0.25">
      <c r="A116" s="1" t="s">
        <v>107</v>
      </c>
      <c r="D116" s="1">
        <v>1</v>
      </c>
    </row>
    <row r="117" spans="1:4" x14ac:dyDescent="0.25">
      <c r="A117" s="1" t="s">
        <v>108</v>
      </c>
      <c r="C117" s="1">
        <v>1</v>
      </c>
    </row>
    <row r="118" spans="1:4" x14ac:dyDescent="0.25">
      <c r="A118" s="1" t="s">
        <v>109</v>
      </c>
      <c r="D118" s="1">
        <v>1</v>
      </c>
    </row>
    <row r="119" spans="1:4" x14ac:dyDescent="0.25">
      <c r="A119" s="1" t="s">
        <v>114</v>
      </c>
      <c r="D119" s="1">
        <v>1</v>
      </c>
    </row>
    <row r="120" spans="1:4" x14ac:dyDescent="0.25">
      <c r="A120" s="1" t="s">
        <v>110</v>
      </c>
      <c r="B120" s="1">
        <v>1</v>
      </c>
    </row>
    <row r="121" spans="1:4" x14ac:dyDescent="0.25">
      <c r="A121" s="1" t="s">
        <v>111</v>
      </c>
      <c r="D121" s="1">
        <v>1</v>
      </c>
    </row>
    <row r="122" spans="1:4" x14ac:dyDescent="0.25">
      <c r="A122" s="1" t="s">
        <v>112</v>
      </c>
      <c r="D122" s="1">
        <v>1</v>
      </c>
    </row>
    <row r="123" spans="1:4" x14ac:dyDescent="0.25">
      <c r="A123" s="1" t="s">
        <v>113</v>
      </c>
      <c r="B123" s="1">
        <v>1</v>
      </c>
    </row>
    <row r="124" spans="1:4" x14ac:dyDescent="0.25">
      <c r="A124" s="1" t="s">
        <v>115</v>
      </c>
      <c r="B124" s="1">
        <v>1</v>
      </c>
    </row>
    <row r="125" spans="1:4" x14ac:dyDescent="0.25">
      <c r="A125" s="1" t="s">
        <v>116</v>
      </c>
      <c r="B125" s="1">
        <v>1</v>
      </c>
    </row>
    <row r="126" spans="1:4" x14ac:dyDescent="0.25">
      <c r="A126" s="1" t="s">
        <v>117</v>
      </c>
      <c r="B126" s="1">
        <v>1</v>
      </c>
    </row>
    <row r="127" spans="1:4" x14ac:dyDescent="0.25">
      <c r="A127" s="1" t="s">
        <v>118</v>
      </c>
      <c r="D127" s="1">
        <v>1</v>
      </c>
    </row>
    <row r="128" spans="1:4" x14ac:dyDescent="0.25">
      <c r="A128" s="1" t="s">
        <v>119</v>
      </c>
      <c r="B128" s="1">
        <v>1</v>
      </c>
    </row>
    <row r="129" spans="1:4" x14ac:dyDescent="0.25">
      <c r="A129" s="1" t="s">
        <v>120</v>
      </c>
      <c r="B129" s="1">
        <v>1</v>
      </c>
    </row>
    <row r="130" spans="1:4" x14ac:dyDescent="0.25">
      <c r="A130" s="1" t="s">
        <v>121</v>
      </c>
      <c r="B130" s="1">
        <v>1</v>
      </c>
    </row>
    <row r="131" spans="1:4" x14ac:dyDescent="0.25">
      <c r="A131" s="1" t="s">
        <v>122</v>
      </c>
      <c r="C131" s="1">
        <v>1</v>
      </c>
    </row>
    <row r="132" spans="1:4" x14ac:dyDescent="0.25">
      <c r="A132" s="1" t="s">
        <v>123</v>
      </c>
      <c r="D132" s="1">
        <v>1</v>
      </c>
    </row>
    <row r="133" spans="1:4" x14ac:dyDescent="0.25">
      <c r="A133" s="1" t="s">
        <v>124</v>
      </c>
      <c r="D133" s="1">
        <v>1</v>
      </c>
    </row>
    <row r="134" spans="1:4" x14ac:dyDescent="0.25">
      <c r="A134" s="1" t="s">
        <v>125</v>
      </c>
      <c r="D134" s="1">
        <v>1</v>
      </c>
    </row>
    <row r="135" spans="1:4" x14ac:dyDescent="0.25">
      <c r="A135" s="1" t="s">
        <v>126</v>
      </c>
      <c r="D135" s="1">
        <v>1</v>
      </c>
    </row>
    <row r="136" spans="1:4" x14ac:dyDescent="0.25">
      <c r="A136" s="1" t="s">
        <v>127</v>
      </c>
      <c r="B136" s="1">
        <v>1</v>
      </c>
    </row>
    <row r="137" spans="1:4" x14ac:dyDescent="0.25">
      <c r="A137" s="1" t="s">
        <v>128</v>
      </c>
      <c r="C137" s="1">
        <v>1</v>
      </c>
    </row>
    <row r="138" spans="1:4" x14ac:dyDescent="0.25">
      <c r="A138" s="1" t="s">
        <v>129</v>
      </c>
      <c r="C138" s="1">
        <v>1</v>
      </c>
    </row>
    <row r="139" spans="1:4" x14ac:dyDescent="0.25">
      <c r="A139" s="1" t="s">
        <v>130</v>
      </c>
      <c r="B139" s="1">
        <v>1</v>
      </c>
    </row>
    <row r="140" spans="1:4" x14ac:dyDescent="0.25">
      <c r="A140" s="1" t="s">
        <v>131</v>
      </c>
      <c r="D140" s="1">
        <v>1</v>
      </c>
    </row>
    <row r="141" spans="1:4" x14ac:dyDescent="0.25">
      <c r="A141" s="1" t="s">
        <v>132</v>
      </c>
      <c r="C141" s="1">
        <v>1</v>
      </c>
    </row>
    <row r="142" spans="1:4" x14ac:dyDescent="0.25">
      <c r="A142" s="1" t="s">
        <v>133</v>
      </c>
      <c r="D142" s="1">
        <v>1</v>
      </c>
    </row>
    <row r="143" spans="1:4" x14ac:dyDescent="0.25">
      <c r="A143" s="1" t="s">
        <v>134</v>
      </c>
      <c r="B143" s="1">
        <v>1</v>
      </c>
    </row>
    <row r="144" spans="1:4" x14ac:dyDescent="0.25">
      <c r="A144" s="1" t="s">
        <v>136</v>
      </c>
      <c r="D144" s="1">
        <v>1</v>
      </c>
    </row>
    <row r="145" spans="1:5" x14ac:dyDescent="0.25">
      <c r="A145" s="1" t="s">
        <v>135</v>
      </c>
      <c r="B145" s="1">
        <v>1</v>
      </c>
    </row>
    <row r="146" spans="1:5" x14ac:dyDescent="0.25">
      <c r="A146" s="1" t="s">
        <v>137</v>
      </c>
      <c r="D146" s="1">
        <v>1</v>
      </c>
    </row>
    <row r="147" spans="1:5" x14ac:dyDescent="0.25">
      <c r="A147" s="1" t="s">
        <v>138</v>
      </c>
      <c r="B147" s="1">
        <v>1</v>
      </c>
    </row>
    <row r="148" spans="1:5" x14ac:dyDescent="0.25">
      <c r="A148" s="1" t="s">
        <v>139</v>
      </c>
      <c r="D148" s="1">
        <v>1</v>
      </c>
    </row>
    <row r="149" spans="1:5" x14ac:dyDescent="0.25">
      <c r="A149" s="1" t="s">
        <v>140</v>
      </c>
      <c r="B149" s="1">
        <v>1</v>
      </c>
    </row>
    <row r="150" spans="1:5" x14ac:dyDescent="0.25">
      <c r="A150" s="1" t="s">
        <v>141</v>
      </c>
      <c r="C150" s="1">
        <v>1</v>
      </c>
    </row>
    <row r="151" spans="1:5" x14ac:dyDescent="0.25">
      <c r="A151" s="1" t="s">
        <v>142</v>
      </c>
      <c r="C151" s="1">
        <v>1</v>
      </c>
    </row>
    <row r="152" spans="1:5" x14ac:dyDescent="0.25">
      <c r="A152" s="1" t="s">
        <v>143</v>
      </c>
      <c r="B152" s="1">
        <v>1</v>
      </c>
    </row>
    <row r="153" spans="1:5" x14ac:dyDescent="0.25">
      <c r="A153" s="1" t="s">
        <v>149</v>
      </c>
      <c r="B153" s="1">
        <f>SUM(Tabelle5[1-selten])</f>
        <v>68</v>
      </c>
      <c r="C153" s="1">
        <f>SUM(Tabelle5[2-häufig])</f>
        <v>39</v>
      </c>
      <c r="D153" s="1">
        <f>SUM(Tabelle5[3-sehr häufig])</f>
        <v>44</v>
      </c>
      <c r="E153" s="1">
        <f>SUM(B153:D153)</f>
        <v>151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workbookViewId="0">
      <selection activeCell="J7" sqref="J7"/>
    </sheetView>
  </sheetViews>
  <sheetFormatPr defaultColWidth="11.5546875" defaultRowHeight="13.8" x14ac:dyDescent="0.25"/>
  <cols>
    <col min="1" max="1" width="36.109375" style="1" customWidth="1"/>
    <col min="2" max="2" width="16.21875" style="4" customWidth="1"/>
    <col min="3" max="16384" width="11.5546875" style="1"/>
  </cols>
  <sheetData>
    <row r="1" spans="1:3" x14ac:dyDescent="0.25">
      <c r="A1" s="5" t="s">
        <v>147</v>
      </c>
      <c r="B1" s="4" t="s">
        <v>157</v>
      </c>
      <c r="C1" s="4" t="s">
        <v>158</v>
      </c>
    </row>
    <row r="2" spans="1:3" x14ac:dyDescent="0.25">
      <c r="A2" s="1" t="s">
        <v>169</v>
      </c>
      <c r="B2" s="4">
        <v>1</v>
      </c>
      <c r="C2" s="4"/>
    </row>
    <row r="3" spans="1:3" x14ac:dyDescent="0.25">
      <c r="A3" s="1" t="s">
        <v>27</v>
      </c>
      <c r="B3" s="4">
        <v>1</v>
      </c>
      <c r="C3" s="4"/>
    </row>
    <row r="4" spans="1:3" x14ac:dyDescent="0.25">
      <c r="A4" s="1" t="s">
        <v>80</v>
      </c>
      <c r="C4" s="4">
        <v>1</v>
      </c>
    </row>
    <row r="5" spans="1:3" x14ac:dyDescent="0.25">
      <c r="A5" s="1" t="s">
        <v>113</v>
      </c>
      <c r="B5" s="4">
        <v>1</v>
      </c>
      <c r="C5" s="4"/>
    </row>
    <row r="6" spans="1:3" x14ac:dyDescent="0.25">
      <c r="A6" s="1" t="s">
        <v>82</v>
      </c>
      <c r="C6" s="4">
        <v>1</v>
      </c>
    </row>
    <row r="7" spans="1:3" x14ac:dyDescent="0.25">
      <c r="A7" s="1" t="s">
        <v>15</v>
      </c>
      <c r="B7" s="4">
        <v>1</v>
      </c>
      <c r="C7" s="4"/>
    </row>
    <row r="8" spans="1:3" x14ac:dyDescent="0.25">
      <c r="A8" s="1" t="s">
        <v>85</v>
      </c>
      <c r="B8" s="4">
        <v>1</v>
      </c>
      <c r="C8" s="4"/>
    </row>
    <row r="9" spans="1:3" x14ac:dyDescent="0.25">
      <c r="A9" s="1" t="s">
        <v>159</v>
      </c>
      <c r="B9" s="4">
        <v>1</v>
      </c>
      <c r="C9" s="4"/>
    </row>
    <row r="10" spans="1:3" x14ac:dyDescent="0.25">
      <c r="A10" s="1" t="s">
        <v>132</v>
      </c>
      <c r="C10" s="4">
        <v>1</v>
      </c>
    </row>
    <row r="11" spans="1:3" x14ac:dyDescent="0.25">
      <c r="A11" s="1" t="s">
        <v>160</v>
      </c>
      <c r="B11" s="4">
        <v>1</v>
      </c>
      <c r="C11" s="4"/>
    </row>
    <row r="12" spans="1:3" x14ac:dyDescent="0.25">
      <c r="A12" s="1" t="s">
        <v>106</v>
      </c>
      <c r="B12" s="4">
        <v>1</v>
      </c>
      <c r="C12" s="4"/>
    </row>
    <row r="13" spans="1:3" x14ac:dyDescent="0.25">
      <c r="A13" s="1" t="s">
        <v>122</v>
      </c>
      <c r="C13" s="4">
        <v>1</v>
      </c>
    </row>
    <row r="14" spans="1:3" x14ac:dyDescent="0.25">
      <c r="A14" s="1" t="s">
        <v>54</v>
      </c>
      <c r="C14" s="4">
        <v>1</v>
      </c>
    </row>
    <row r="15" spans="1:3" x14ac:dyDescent="0.25">
      <c r="A15" s="1" t="s">
        <v>161</v>
      </c>
      <c r="B15" s="4">
        <v>1</v>
      </c>
      <c r="C15" s="4"/>
    </row>
    <row r="16" spans="1:3" x14ac:dyDescent="0.25">
      <c r="A16" s="1" t="s">
        <v>118</v>
      </c>
      <c r="B16" s="4">
        <v>1</v>
      </c>
      <c r="C16" s="4"/>
    </row>
    <row r="17" spans="1:3" x14ac:dyDescent="0.25">
      <c r="A17" s="1" t="s">
        <v>8</v>
      </c>
      <c r="B17" s="4">
        <v>1</v>
      </c>
      <c r="C17" s="4"/>
    </row>
    <row r="18" spans="1:3" x14ac:dyDescent="0.25">
      <c r="A18" s="1" t="s">
        <v>111</v>
      </c>
      <c r="B18" s="4">
        <v>1</v>
      </c>
      <c r="C18" s="4"/>
    </row>
    <row r="19" spans="1:3" x14ac:dyDescent="0.25">
      <c r="A19" s="1" t="s">
        <v>104</v>
      </c>
      <c r="B19" s="4">
        <v>1</v>
      </c>
      <c r="C19" s="4"/>
    </row>
    <row r="20" spans="1:3" x14ac:dyDescent="0.25">
      <c r="A20" s="1" t="s">
        <v>102</v>
      </c>
      <c r="C20" s="4">
        <v>1</v>
      </c>
    </row>
    <row r="21" spans="1:3" x14ac:dyDescent="0.25">
      <c r="A21" s="1" t="s">
        <v>29</v>
      </c>
      <c r="B21" s="4">
        <v>1</v>
      </c>
      <c r="C21" s="4"/>
    </row>
    <row r="22" spans="1:3" x14ac:dyDescent="0.25">
      <c r="A22" s="1" t="s">
        <v>64</v>
      </c>
      <c r="B22" s="4">
        <v>1</v>
      </c>
      <c r="C22" s="4"/>
    </row>
    <row r="23" spans="1:3" x14ac:dyDescent="0.25">
      <c r="A23" s="1" t="s">
        <v>39</v>
      </c>
      <c r="B23" s="4">
        <v>1</v>
      </c>
      <c r="C23" s="4"/>
    </row>
    <row r="24" spans="1:3" x14ac:dyDescent="0.25">
      <c r="A24" s="1" t="s">
        <v>138</v>
      </c>
      <c r="C24" s="4">
        <v>1</v>
      </c>
    </row>
    <row r="25" spans="1:3" x14ac:dyDescent="0.25">
      <c r="A25" s="1" t="s">
        <v>12</v>
      </c>
      <c r="B25" s="4">
        <v>1</v>
      </c>
      <c r="C25" s="4"/>
    </row>
    <row r="26" spans="1:3" x14ac:dyDescent="0.25">
      <c r="A26" s="1" t="s">
        <v>110</v>
      </c>
      <c r="B26" s="4">
        <v>1</v>
      </c>
      <c r="C26" s="4"/>
    </row>
    <row r="27" spans="1:3" x14ac:dyDescent="0.25">
      <c r="A27" s="1" t="s">
        <v>98</v>
      </c>
      <c r="C27" s="4">
        <v>1</v>
      </c>
    </row>
    <row r="28" spans="1:3" x14ac:dyDescent="0.25">
      <c r="A28" s="1" t="s">
        <v>97</v>
      </c>
      <c r="C28" s="4">
        <v>1</v>
      </c>
    </row>
    <row r="29" spans="1:3" x14ac:dyDescent="0.25">
      <c r="A29" s="1" t="s">
        <v>50</v>
      </c>
      <c r="C29" s="4">
        <v>1</v>
      </c>
    </row>
    <row r="30" spans="1:3" x14ac:dyDescent="0.25">
      <c r="A30" s="1" t="s">
        <v>124</v>
      </c>
      <c r="C30" s="4">
        <v>1</v>
      </c>
    </row>
    <row r="31" spans="1:3" x14ac:dyDescent="0.25">
      <c r="A31" s="1" t="s">
        <v>19</v>
      </c>
      <c r="B31" s="4">
        <v>1</v>
      </c>
      <c r="C31" s="4"/>
    </row>
    <row r="32" spans="1:3" x14ac:dyDescent="0.25">
      <c r="A32" s="1" t="s">
        <v>61</v>
      </c>
      <c r="B32" s="4">
        <v>1</v>
      </c>
      <c r="C32" s="4"/>
    </row>
    <row r="33" spans="1:3" x14ac:dyDescent="0.25">
      <c r="A33" s="1" t="s">
        <v>92</v>
      </c>
      <c r="B33" s="4">
        <v>1</v>
      </c>
      <c r="C33" s="4"/>
    </row>
    <row r="34" spans="1:3" x14ac:dyDescent="0.25">
      <c r="A34" s="1" t="s">
        <v>7</v>
      </c>
      <c r="B34" s="4">
        <v>1</v>
      </c>
      <c r="C34" s="4"/>
    </row>
    <row r="35" spans="1:3" x14ac:dyDescent="0.25">
      <c r="A35" s="1" t="s">
        <v>107</v>
      </c>
      <c r="B35" s="4">
        <v>1</v>
      </c>
      <c r="C35" s="4"/>
    </row>
    <row r="36" spans="1:3" x14ac:dyDescent="0.25">
      <c r="A36" s="1" t="s">
        <v>162</v>
      </c>
      <c r="C36" s="4">
        <v>1</v>
      </c>
    </row>
    <row r="37" spans="1:3" x14ac:dyDescent="0.25">
      <c r="A37" s="1" t="s">
        <v>57</v>
      </c>
      <c r="B37" s="4">
        <v>1</v>
      </c>
      <c r="C37" s="4"/>
    </row>
    <row r="38" spans="1:3" x14ac:dyDescent="0.25">
      <c r="A38" s="1" t="s">
        <v>73</v>
      </c>
      <c r="B38" s="4">
        <v>1</v>
      </c>
      <c r="C38" s="4"/>
    </row>
    <row r="39" spans="1:3" x14ac:dyDescent="0.25">
      <c r="A39" s="1" t="s">
        <v>131</v>
      </c>
      <c r="B39" s="4">
        <v>1</v>
      </c>
      <c r="C39" s="4"/>
    </row>
    <row r="40" spans="1:3" x14ac:dyDescent="0.25">
      <c r="A40" s="1" t="s">
        <v>71</v>
      </c>
      <c r="B40" s="4">
        <v>1</v>
      </c>
      <c r="C40" s="4"/>
    </row>
    <row r="41" spans="1:3" x14ac:dyDescent="0.25">
      <c r="A41" s="1" t="s">
        <v>53</v>
      </c>
      <c r="B41" s="4">
        <v>1</v>
      </c>
      <c r="C41" s="4"/>
    </row>
    <row r="42" spans="1:3" x14ac:dyDescent="0.25">
      <c r="A42" s="1" t="s">
        <v>76</v>
      </c>
      <c r="B42" s="4">
        <v>1</v>
      </c>
      <c r="C42" s="4"/>
    </row>
    <row r="43" spans="1:3" x14ac:dyDescent="0.25">
      <c r="A43" s="1" t="s">
        <v>28</v>
      </c>
      <c r="C43" s="4">
        <v>1</v>
      </c>
    </row>
    <row r="44" spans="1:3" x14ac:dyDescent="0.25">
      <c r="A44" s="1" t="s">
        <v>22</v>
      </c>
      <c r="C44" s="4">
        <v>1</v>
      </c>
    </row>
    <row r="45" spans="1:3" x14ac:dyDescent="0.25">
      <c r="A45" s="1" t="s">
        <v>26</v>
      </c>
      <c r="C45" s="4">
        <v>1</v>
      </c>
    </row>
    <row r="46" spans="1:3" x14ac:dyDescent="0.25">
      <c r="A46" s="1" t="s">
        <v>139</v>
      </c>
      <c r="B46" s="4">
        <v>1</v>
      </c>
      <c r="C46" s="4"/>
    </row>
    <row r="47" spans="1:3" x14ac:dyDescent="0.25">
      <c r="A47" s="1" t="s">
        <v>65</v>
      </c>
      <c r="B47" s="4">
        <v>1</v>
      </c>
      <c r="C47" s="4"/>
    </row>
    <row r="48" spans="1:3" x14ac:dyDescent="0.25">
      <c r="A48" s="1" t="s">
        <v>109</v>
      </c>
      <c r="C48" s="4">
        <v>1</v>
      </c>
    </row>
    <row r="49" spans="1:3" x14ac:dyDescent="0.25">
      <c r="A49" s="1" t="s">
        <v>30</v>
      </c>
      <c r="B49" s="4">
        <v>1</v>
      </c>
      <c r="C49" s="4"/>
    </row>
    <row r="50" spans="1:3" x14ac:dyDescent="0.25">
      <c r="A50" s="1" t="s">
        <v>130</v>
      </c>
      <c r="B50" s="4">
        <v>1</v>
      </c>
      <c r="C50" s="4"/>
    </row>
    <row r="51" spans="1:3" x14ac:dyDescent="0.25">
      <c r="A51" s="1" t="s">
        <v>32</v>
      </c>
      <c r="C51" s="4">
        <v>1</v>
      </c>
    </row>
    <row r="52" spans="1:3" x14ac:dyDescent="0.25">
      <c r="A52" s="1" t="s">
        <v>83</v>
      </c>
      <c r="B52" s="4">
        <v>1</v>
      </c>
      <c r="C52" s="4"/>
    </row>
    <row r="53" spans="1:3" x14ac:dyDescent="0.25">
      <c r="A53" s="1" t="s">
        <v>121</v>
      </c>
      <c r="C53" s="4">
        <v>1</v>
      </c>
    </row>
    <row r="54" spans="1:3" x14ac:dyDescent="0.25">
      <c r="A54" s="1" t="s">
        <v>135</v>
      </c>
      <c r="B54" s="4">
        <v>1</v>
      </c>
      <c r="C54" s="4"/>
    </row>
    <row r="55" spans="1:3" x14ac:dyDescent="0.25">
      <c r="A55" s="1" t="s">
        <v>142</v>
      </c>
      <c r="B55" s="4">
        <v>1</v>
      </c>
      <c r="C55" s="4"/>
    </row>
    <row r="56" spans="1:3" x14ac:dyDescent="0.25">
      <c r="A56" s="1" t="s">
        <v>78</v>
      </c>
      <c r="C56" s="4">
        <v>1</v>
      </c>
    </row>
    <row r="57" spans="1:3" x14ac:dyDescent="0.25">
      <c r="A57" s="1" t="s">
        <v>164</v>
      </c>
      <c r="C57" s="4">
        <v>1</v>
      </c>
    </row>
    <row r="58" spans="1:3" x14ac:dyDescent="0.25">
      <c r="A58" s="1" t="s">
        <v>117</v>
      </c>
      <c r="C58" s="4">
        <v>1</v>
      </c>
    </row>
    <row r="59" spans="1:3" x14ac:dyDescent="0.25">
      <c r="A59" s="1" t="s">
        <v>13</v>
      </c>
      <c r="B59" s="4">
        <v>1</v>
      </c>
      <c r="C59" s="4"/>
    </row>
    <row r="60" spans="1:3" x14ac:dyDescent="0.25">
      <c r="A60" s="1" t="s">
        <v>114</v>
      </c>
      <c r="C60" s="4">
        <v>1</v>
      </c>
    </row>
    <row r="61" spans="1:3" x14ac:dyDescent="0.25">
      <c r="A61" s="1" t="s">
        <v>123</v>
      </c>
      <c r="C61" s="4">
        <v>1</v>
      </c>
    </row>
    <row r="62" spans="1:3" x14ac:dyDescent="0.25">
      <c r="A62" s="1" t="s">
        <v>25</v>
      </c>
      <c r="B62" s="4">
        <v>1</v>
      </c>
      <c r="C62" s="4"/>
    </row>
    <row r="63" spans="1:3" x14ac:dyDescent="0.25">
      <c r="A63" s="1" t="s">
        <v>62</v>
      </c>
      <c r="B63" s="4">
        <v>1</v>
      </c>
      <c r="C63" s="4"/>
    </row>
    <row r="64" spans="1:3" x14ac:dyDescent="0.25">
      <c r="A64" s="1" t="s">
        <v>77</v>
      </c>
      <c r="C64" s="4">
        <v>1</v>
      </c>
    </row>
    <row r="65" spans="1:3" x14ac:dyDescent="0.25">
      <c r="A65" s="1" t="s">
        <v>10</v>
      </c>
      <c r="B65" s="4">
        <v>1</v>
      </c>
      <c r="C65" s="4"/>
    </row>
    <row r="66" spans="1:3" x14ac:dyDescent="0.25">
      <c r="A66" s="1" t="s">
        <v>9</v>
      </c>
      <c r="C66" s="4">
        <v>1</v>
      </c>
    </row>
    <row r="67" spans="1:3" x14ac:dyDescent="0.25">
      <c r="A67" s="1" t="s">
        <v>35</v>
      </c>
      <c r="B67" s="4">
        <v>1</v>
      </c>
      <c r="C67" s="4"/>
    </row>
    <row r="68" spans="1:3" x14ac:dyDescent="0.25">
      <c r="A68" s="1" t="s">
        <v>87</v>
      </c>
      <c r="C68" s="4">
        <v>1</v>
      </c>
    </row>
    <row r="69" spans="1:3" x14ac:dyDescent="0.25">
      <c r="A69" s="1" t="s">
        <v>137</v>
      </c>
      <c r="C69" s="4">
        <v>1</v>
      </c>
    </row>
    <row r="70" spans="1:3" x14ac:dyDescent="0.25">
      <c r="A70" s="1" t="s">
        <v>90</v>
      </c>
      <c r="B70" s="4">
        <v>1</v>
      </c>
      <c r="C70" s="4"/>
    </row>
    <row r="71" spans="1:3" x14ac:dyDescent="0.25">
      <c r="A71" s="1" t="s">
        <v>127</v>
      </c>
      <c r="C71" s="4">
        <v>1</v>
      </c>
    </row>
    <row r="72" spans="1:3" x14ac:dyDescent="0.25">
      <c r="A72" s="1" t="s">
        <v>143</v>
      </c>
      <c r="C72" s="4">
        <v>1</v>
      </c>
    </row>
    <row r="73" spans="1:3" x14ac:dyDescent="0.25">
      <c r="A73" s="1" t="s">
        <v>103</v>
      </c>
      <c r="C73" s="4">
        <v>1</v>
      </c>
    </row>
    <row r="74" spans="1:3" x14ac:dyDescent="0.25">
      <c r="A74" s="1" t="s">
        <v>75</v>
      </c>
      <c r="B74" s="4">
        <v>1</v>
      </c>
      <c r="C74" s="4"/>
    </row>
    <row r="75" spans="1:3" x14ac:dyDescent="0.25">
      <c r="A75" s="1" t="s">
        <v>81</v>
      </c>
      <c r="B75" s="4">
        <v>1</v>
      </c>
      <c r="C75" s="4"/>
    </row>
    <row r="76" spans="1:3" x14ac:dyDescent="0.25">
      <c r="A76" s="1" t="s">
        <v>42</v>
      </c>
      <c r="C76" s="4">
        <v>1</v>
      </c>
    </row>
    <row r="77" spans="1:3" x14ac:dyDescent="0.25">
      <c r="A77" s="1" t="s">
        <v>67</v>
      </c>
      <c r="B77" s="4">
        <v>1</v>
      </c>
      <c r="C77" s="4"/>
    </row>
    <row r="78" spans="1:3" x14ac:dyDescent="0.25">
      <c r="A78" s="1" t="s">
        <v>91</v>
      </c>
      <c r="B78" s="4">
        <v>1</v>
      </c>
      <c r="C78" s="4"/>
    </row>
    <row r="79" spans="1:3" x14ac:dyDescent="0.25">
      <c r="A79" s="1" t="s">
        <v>24</v>
      </c>
      <c r="C79" s="4">
        <v>1</v>
      </c>
    </row>
    <row r="80" spans="1:3" x14ac:dyDescent="0.25">
      <c r="A80" s="1" t="s">
        <v>37</v>
      </c>
      <c r="C80" s="4">
        <v>1</v>
      </c>
    </row>
    <row r="81" spans="1:3" x14ac:dyDescent="0.25">
      <c r="A81" s="1" t="s">
        <v>88</v>
      </c>
      <c r="B81" s="4">
        <v>1</v>
      </c>
      <c r="C81" s="4"/>
    </row>
    <row r="82" spans="1:3" x14ac:dyDescent="0.25">
      <c r="A82" s="1" t="s">
        <v>116</v>
      </c>
      <c r="C82" s="4">
        <v>1</v>
      </c>
    </row>
    <row r="83" spans="1:3" x14ac:dyDescent="0.25">
      <c r="A83" s="1" t="s">
        <v>23</v>
      </c>
      <c r="C83" s="4">
        <v>1</v>
      </c>
    </row>
    <row r="84" spans="1:3" x14ac:dyDescent="0.25">
      <c r="A84" s="1" t="s">
        <v>2</v>
      </c>
      <c r="B84" s="4">
        <v>1</v>
      </c>
      <c r="C84" s="4"/>
    </row>
    <row r="85" spans="1:3" x14ac:dyDescent="0.25">
      <c r="A85" s="1" t="s">
        <v>55</v>
      </c>
      <c r="B85" s="4">
        <v>1</v>
      </c>
      <c r="C85" s="4"/>
    </row>
    <row r="86" spans="1:3" x14ac:dyDescent="0.25">
      <c r="A86" s="1" t="s">
        <v>21</v>
      </c>
      <c r="C86" s="4">
        <v>1</v>
      </c>
    </row>
    <row r="87" spans="1:3" x14ac:dyDescent="0.25">
      <c r="A87" s="1" t="s">
        <v>1</v>
      </c>
      <c r="B87" s="4">
        <v>1</v>
      </c>
      <c r="C87" s="4"/>
    </row>
    <row r="88" spans="1:3" x14ac:dyDescent="0.25">
      <c r="A88" s="1" t="s">
        <v>112</v>
      </c>
      <c r="B88" s="4">
        <v>1</v>
      </c>
      <c r="C88" s="4"/>
    </row>
    <row r="89" spans="1:3" x14ac:dyDescent="0.25">
      <c r="A89" s="1" t="s">
        <v>74</v>
      </c>
      <c r="C89" s="4">
        <v>1</v>
      </c>
    </row>
    <row r="90" spans="1:3" x14ac:dyDescent="0.25">
      <c r="A90" s="1" t="s">
        <v>40</v>
      </c>
      <c r="C90" s="4">
        <v>1</v>
      </c>
    </row>
    <row r="91" spans="1:3" x14ac:dyDescent="0.25">
      <c r="A91" s="1" t="s">
        <v>58</v>
      </c>
      <c r="C91" s="4">
        <v>1</v>
      </c>
    </row>
    <row r="92" spans="1:3" x14ac:dyDescent="0.25">
      <c r="A92" s="1" t="s">
        <v>95</v>
      </c>
      <c r="B92" s="4">
        <v>1</v>
      </c>
      <c r="C92" s="4"/>
    </row>
    <row r="93" spans="1:3" x14ac:dyDescent="0.25">
      <c r="A93" s="1" t="s">
        <v>115</v>
      </c>
      <c r="C93" s="4">
        <v>1</v>
      </c>
    </row>
    <row r="94" spans="1:3" x14ac:dyDescent="0.25">
      <c r="A94" s="1" t="s">
        <v>120</v>
      </c>
      <c r="C94" s="4">
        <v>1</v>
      </c>
    </row>
    <row r="95" spans="1:3" x14ac:dyDescent="0.25">
      <c r="A95" s="1" t="s">
        <v>36</v>
      </c>
      <c r="C95" s="4">
        <v>1</v>
      </c>
    </row>
    <row r="96" spans="1:3" x14ac:dyDescent="0.25">
      <c r="A96" s="1" t="s">
        <v>66</v>
      </c>
      <c r="C96" s="4">
        <v>1</v>
      </c>
    </row>
    <row r="97" spans="1:3" x14ac:dyDescent="0.25">
      <c r="A97" s="1" t="s">
        <v>96</v>
      </c>
      <c r="B97" s="4">
        <v>1</v>
      </c>
      <c r="C97" s="4"/>
    </row>
    <row r="98" spans="1:3" x14ac:dyDescent="0.25">
      <c r="A98" s="1" t="s">
        <v>140</v>
      </c>
      <c r="C98" s="4">
        <v>1</v>
      </c>
    </row>
    <row r="99" spans="1:3" x14ac:dyDescent="0.25">
      <c r="A99" s="1" t="s">
        <v>43</v>
      </c>
      <c r="C99" s="4">
        <v>1</v>
      </c>
    </row>
    <row r="100" spans="1:3" x14ac:dyDescent="0.25">
      <c r="A100" s="1" t="s">
        <v>133</v>
      </c>
      <c r="C100" s="4">
        <v>1</v>
      </c>
    </row>
    <row r="101" spans="1:3" x14ac:dyDescent="0.25">
      <c r="A101" s="1" t="s">
        <v>134</v>
      </c>
      <c r="C101" s="4">
        <v>1</v>
      </c>
    </row>
    <row r="102" spans="1:3" x14ac:dyDescent="0.25">
      <c r="A102" s="1" t="s">
        <v>14</v>
      </c>
      <c r="B102" s="4">
        <v>1</v>
      </c>
      <c r="C102" s="4"/>
    </row>
    <row r="103" spans="1:3" x14ac:dyDescent="0.25">
      <c r="A103" s="1" t="s">
        <v>163</v>
      </c>
      <c r="C103" s="4">
        <v>1</v>
      </c>
    </row>
    <row r="104" spans="1:3" x14ac:dyDescent="0.25">
      <c r="A104" s="1" t="s">
        <v>46</v>
      </c>
      <c r="B104" s="4">
        <v>1</v>
      </c>
      <c r="C104" s="4"/>
    </row>
    <row r="105" spans="1:3" x14ac:dyDescent="0.25">
      <c r="A105" s="1" t="s">
        <v>126</v>
      </c>
      <c r="B105" s="4">
        <v>1</v>
      </c>
      <c r="C105" s="4"/>
    </row>
    <row r="106" spans="1:3" x14ac:dyDescent="0.25">
      <c r="A106" s="1" t="s">
        <v>86</v>
      </c>
      <c r="C106" s="4">
        <v>1</v>
      </c>
    </row>
    <row r="107" spans="1:3" x14ac:dyDescent="0.25">
      <c r="A107" s="1" t="s">
        <v>48</v>
      </c>
      <c r="B107" s="4">
        <v>1</v>
      </c>
      <c r="C107" s="4"/>
    </row>
    <row r="108" spans="1:3" x14ac:dyDescent="0.25">
      <c r="A108" s="1" t="s">
        <v>72</v>
      </c>
      <c r="B108" s="4">
        <v>1</v>
      </c>
      <c r="C108" s="4"/>
    </row>
    <row r="109" spans="1:3" x14ac:dyDescent="0.25">
      <c r="A109" s="1" t="s">
        <v>93</v>
      </c>
      <c r="B109" s="4">
        <v>1</v>
      </c>
      <c r="C109" s="4"/>
    </row>
    <row r="110" spans="1:3" x14ac:dyDescent="0.25">
      <c r="A110" s="1" t="s">
        <v>51</v>
      </c>
      <c r="B110" s="4">
        <v>1</v>
      </c>
      <c r="C110" s="4"/>
    </row>
    <row r="111" spans="1:3" x14ac:dyDescent="0.25">
      <c r="A111" s="1" t="s">
        <v>5</v>
      </c>
      <c r="B111" s="4">
        <v>1</v>
      </c>
      <c r="C111" s="4"/>
    </row>
    <row r="112" spans="1:3" x14ac:dyDescent="0.25">
      <c r="A112" s="1" t="s">
        <v>17</v>
      </c>
      <c r="B112" s="4">
        <v>1</v>
      </c>
      <c r="C112" s="4"/>
    </row>
    <row r="113" spans="1:3" x14ac:dyDescent="0.25">
      <c r="A113" s="1" t="s">
        <v>128</v>
      </c>
      <c r="B113" s="4">
        <v>1</v>
      </c>
      <c r="C113" s="4"/>
    </row>
    <row r="114" spans="1:3" x14ac:dyDescent="0.25">
      <c r="A114" s="1" t="s">
        <v>47</v>
      </c>
      <c r="B114" s="4">
        <v>1</v>
      </c>
      <c r="C114" s="4"/>
    </row>
    <row r="115" spans="1:3" x14ac:dyDescent="0.25">
      <c r="A115" s="1" t="s">
        <v>125</v>
      </c>
      <c r="C115" s="4">
        <v>1</v>
      </c>
    </row>
    <row r="116" spans="1:3" x14ac:dyDescent="0.25">
      <c r="A116" s="1" t="s">
        <v>11</v>
      </c>
      <c r="B116" s="4">
        <v>1</v>
      </c>
      <c r="C116" s="4"/>
    </row>
    <row r="117" spans="1:3" x14ac:dyDescent="0.25">
      <c r="A117" s="1" t="s">
        <v>108</v>
      </c>
      <c r="B117" s="4">
        <v>1</v>
      </c>
      <c r="C117" s="4"/>
    </row>
    <row r="118" spans="1:3" x14ac:dyDescent="0.25">
      <c r="A118" s="1" t="s">
        <v>16</v>
      </c>
      <c r="B118" s="4">
        <v>1</v>
      </c>
      <c r="C118" s="4"/>
    </row>
    <row r="119" spans="1:3" x14ac:dyDescent="0.25">
      <c r="A119" s="1" t="s">
        <v>68</v>
      </c>
      <c r="B119" s="4">
        <v>1</v>
      </c>
      <c r="C119" s="4"/>
    </row>
    <row r="120" spans="1:3" x14ac:dyDescent="0.25">
      <c r="A120" s="1" t="s">
        <v>44</v>
      </c>
      <c r="B120" s="4">
        <v>1</v>
      </c>
      <c r="C120" s="4"/>
    </row>
    <row r="121" spans="1:3" x14ac:dyDescent="0.25">
      <c r="A121" s="1" t="s">
        <v>89</v>
      </c>
      <c r="B121" s="4">
        <v>1</v>
      </c>
      <c r="C121" s="4"/>
    </row>
    <row r="122" spans="1:3" x14ac:dyDescent="0.25">
      <c r="A122" s="1" t="s">
        <v>59</v>
      </c>
      <c r="B122" s="4">
        <v>1</v>
      </c>
      <c r="C122" s="4"/>
    </row>
    <row r="123" spans="1:3" x14ac:dyDescent="0.25">
      <c r="A123" s="1" t="s">
        <v>41</v>
      </c>
      <c r="B123" s="4">
        <v>1</v>
      </c>
      <c r="C123" s="4"/>
    </row>
    <row r="124" spans="1:3" x14ac:dyDescent="0.25">
      <c r="A124" s="1" t="s">
        <v>33</v>
      </c>
      <c r="B124" s="4">
        <v>1</v>
      </c>
      <c r="C124" s="4"/>
    </row>
    <row r="125" spans="1:3" x14ac:dyDescent="0.25">
      <c r="A125" s="1" t="s">
        <v>6</v>
      </c>
      <c r="B125" s="4">
        <v>1</v>
      </c>
      <c r="C125" s="4"/>
    </row>
    <row r="126" spans="1:3" x14ac:dyDescent="0.25">
      <c r="A126" s="1" t="s">
        <v>3</v>
      </c>
      <c r="B126" s="4">
        <v>1</v>
      </c>
      <c r="C126" s="4"/>
    </row>
    <row r="127" spans="1:3" x14ac:dyDescent="0.25">
      <c r="A127" s="1" t="s">
        <v>63</v>
      </c>
      <c r="C127" s="4">
        <v>1</v>
      </c>
    </row>
    <row r="128" spans="1:3" x14ac:dyDescent="0.25">
      <c r="A128" s="1" t="s">
        <v>101</v>
      </c>
      <c r="B128" s="4">
        <v>1</v>
      </c>
      <c r="C128" s="4"/>
    </row>
    <row r="129" spans="1:3" x14ac:dyDescent="0.25">
      <c r="A129" s="1" t="s">
        <v>18</v>
      </c>
      <c r="C129" s="4">
        <v>1</v>
      </c>
    </row>
    <row r="130" spans="1:3" x14ac:dyDescent="0.25">
      <c r="A130" s="1" t="s">
        <v>70</v>
      </c>
      <c r="C130" s="4">
        <v>1</v>
      </c>
    </row>
    <row r="131" spans="1:3" x14ac:dyDescent="0.25">
      <c r="A131" s="1" t="s">
        <v>119</v>
      </c>
      <c r="B131" s="4">
        <v>1</v>
      </c>
      <c r="C131" s="4"/>
    </row>
    <row r="132" spans="1:3" x14ac:dyDescent="0.25">
      <c r="A132" s="1" t="s">
        <v>34</v>
      </c>
      <c r="B132" s="4">
        <v>1</v>
      </c>
      <c r="C132" s="4"/>
    </row>
    <row r="133" spans="1:3" x14ac:dyDescent="0.25">
      <c r="A133" s="1" t="s">
        <v>99</v>
      </c>
      <c r="B133" s="4">
        <v>1</v>
      </c>
      <c r="C133" s="4"/>
    </row>
    <row r="134" spans="1:3" x14ac:dyDescent="0.25">
      <c r="A134" s="1" t="s">
        <v>38</v>
      </c>
      <c r="B134" s="4">
        <v>1</v>
      </c>
      <c r="C134" s="4"/>
    </row>
    <row r="135" spans="1:3" x14ac:dyDescent="0.25">
      <c r="A135" s="1" t="s">
        <v>69</v>
      </c>
      <c r="C135" s="4">
        <v>1</v>
      </c>
    </row>
    <row r="136" spans="1:3" x14ac:dyDescent="0.25">
      <c r="A136" s="1" t="s">
        <v>49</v>
      </c>
      <c r="B136" s="4">
        <v>1</v>
      </c>
      <c r="C136" s="4"/>
    </row>
    <row r="137" spans="1:3" x14ac:dyDescent="0.25">
      <c r="A137" s="1" t="s">
        <v>84</v>
      </c>
      <c r="B137" s="4">
        <v>1</v>
      </c>
      <c r="C137" s="4"/>
    </row>
    <row r="138" spans="1:3" x14ac:dyDescent="0.25">
      <c r="A138" s="1" t="s">
        <v>20</v>
      </c>
      <c r="C138" s="4">
        <v>1</v>
      </c>
    </row>
    <row r="139" spans="1:3" x14ac:dyDescent="0.25">
      <c r="A139" s="1" t="s">
        <v>105</v>
      </c>
      <c r="B139" s="4">
        <v>1</v>
      </c>
      <c r="C139" s="4"/>
    </row>
    <row r="140" spans="1:3" x14ac:dyDescent="0.25">
      <c r="A140" s="1" t="s">
        <v>79</v>
      </c>
      <c r="B140" s="4">
        <v>1</v>
      </c>
      <c r="C140" s="4"/>
    </row>
    <row r="141" spans="1:3" x14ac:dyDescent="0.25">
      <c r="A141" s="1" t="s">
        <v>144</v>
      </c>
      <c r="C141" s="4">
        <v>1</v>
      </c>
    </row>
    <row r="142" spans="1:3" x14ac:dyDescent="0.25">
      <c r="A142" s="1" t="s">
        <v>60</v>
      </c>
      <c r="C142" s="4">
        <v>1</v>
      </c>
    </row>
    <row r="143" spans="1:3" x14ac:dyDescent="0.25">
      <c r="A143" s="1" t="s">
        <v>94</v>
      </c>
      <c r="B143" s="4">
        <v>1</v>
      </c>
      <c r="C143" s="4"/>
    </row>
    <row r="144" spans="1:3" x14ac:dyDescent="0.25">
      <c r="A144" s="1" t="s">
        <v>31</v>
      </c>
      <c r="B144" s="4">
        <v>1</v>
      </c>
      <c r="C144" s="4"/>
    </row>
    <row r="145" spans="1:4" x14ac:dyDescent="0.25">
      <c r="A145" s="1" t="s">
        <v>52</v>
      </c>
      <c r="B145" s="4">
        <v>1</v>
      </c>
      <c r="C145" s="4"/>
    </row>
    <row r="146" spans="1:4" x14ac:dyDescent="0.25">
      <c r="A146" s="1" t="s">
        <v>129</v>
      </c>
      <c r="B146" s="4">
        <v>1</v>
      </c>
      <c r="C146" s="4"/>
    </row>
    <row r="147" spans="1:4" x14ac:dyDescent="0.25">
      <c r="A147" s="1" t="s">
        <v>141</v>
      </c>
      <c r="C147" s="4">
        <v>1</v>
      </c>
    </row>
    <row r="148" spans="1:4" x14ac:dyDescent="0.25">
      <c r="A148" s="1" t="s">
        <v>56</v>
      </c>
      <c r="C148" s="4">
        <v>1</v>
      </c>
    </row>
    <row r="149" spans="1:4" x14ac:dyDescent="0.25">
      <c r="A149" s="1" t="s">
        <v>136</v>
      </c>
      <c r="B149" s="4">
        <v>1</v>
      </c>
      <c r="C149" s="4"/>
    </row>
    <row r="150" spans="1:4" x14ac:dyDescent="0.25">
      <c r="A150" s="1" t="s">
        <v>100</v>
      </c>
      <c r="B150" s="4">
        <v>1</v>
      </c>
      <c r="C150" s="4"/>
    </row>
    <row r="151" spans="1:4" x14ac:dyDescent="0.25">
      <c r="A151" s="1" t="s">
        <v>4</v>
      </c>
      <c r="C151" s="4">
        <v>1</v>
      </c>
    </row>
    <row r="152" spans="1:4" x14ac:dyDescent="0.25">
      <c r="A152" s="1" t="s">
        <v>45</v>
      </c>
      <c r="B152" s="4">
        <v>1</v>
      </c>
      <c r="C152" s="4"/>
    </row>
    <row r="153" spans="1:4" x14ac:dyDescent="0.25">
      <c r="A153" s="1" t="s">
        <v>149</v>
      </c>
      <c r="B153" s="4">
        <f>SUM(Tabelle6[ja])</f>
        <v>91</v>
      </c>
      <c r="C153" s="4">
        <f>SUM(Tabelle6[nein])</f>
        <v>60</v>
      </c>
      <c r="D153" s="1">
        <f>SUM(B153:C153)</f>
        <v>151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"/>
  <sheetViews>
    <sheetView tabSelected="1" workbookViewId="0">
      <selection activeCell="G29" sqref="G29"/>
    </sheetView>
  </sheetViews>
  <sheetFormatPr defaultColWidth="11.5546875" defaultRowHeight="13.8" x14ac:dyDescent="0.25"/>
  <cols>
    <col min="1" max="1" width="37.88671875" style="1" customWidth="1"/>
    <col min="2" max="16384" width="11.5546875" style="1"/>
  </cols>
  <sheetData>
    <row r="1" spans="1:5" x14ac:dyDescent="0.25">
      <c r="A1" s="1" t="s">
        <v>148</v>
      </c>
      <c r="B1" s="1" t="s">
        <v>187</v>
      </c>
      <c r="C1" s="1" t="s">
        <v>188</v>
      </c>
      <c r="D1" s="1" t="s">
        <v>189</v>
      </c>
      <c r="E1" s="1" t="s">
        <v>156</v>
      </c>
    </row>
    <row r="2" spans="1:5" x14ac:dyDescent="0.25">
      <c r="A2" s="1" t="s">
        <v>169</v>
      </c>
      <c r="E2" s="1">
        <v>1</v>
      </c>
    </row>
    <row r="3" spans="1:5" x14ac:dyDescent="0.25">
      <c r="A3" s="1" t="s">
        <v>1</v>
      </c>
      <c r="D3" s="1">
        <v>1</v>
      </c>
    </row>
    <row r="4" spans="1:5" x14ac:dyDescent="0.25">
      <c r="A4" s="1" t="s">
        <v>2</v>
      </c>
      <c r="B4" s="1">
        <v>1</v>
      </c>
    </row>
    <row r="5" spans="1:5" x14ac:dyDescent="0.25">
      <c r="A5" s="1" t="s">
        <v>3</v>
      </c>
      <c r="B5" s="1">
        <v>1</v>
      </c>
    </row>
    <row r="6" spans="1:5" x14ac:dyDescent="0.25">
      <c r="A6" s="1" t="s">
        <v>4</v>
      </c>
      <c r="C6" s="1">
        <v>1</v>
      </c>
    </row>
    <row r="7" spans="1:5" x14ac:dyDescent="0.25">
      <c r="A7" s="1" t="s">
        <v>5</v>
      </c>
      <c r="D7" s="1">
        <v>1</v>
      </c>
    </row>
    <row r="8" spans="1:5" x14ac:dyDescent="0.25">
      <c r="A8" s="1" t="s">
        <v>6</v>
      </c>
      <c r="C8" s="1">
        <v>1</v>
      </c>
    </row>
    <row r="9" spans="1:5" x14ac:dyDescent="0.25">
      <c r="A9" s="1" t="s">
        <v>7</v>
      </c>
      <c r="C9" s="1">
        <v>1</v>
      </c>
    </row>
    <row r="10" spans="1:5" x14ac:dyDescent="0.25">
      <c r="A10" s="1" t="s">
        <v>8</v>
      </c>
      <c r="C10" s="1">
        <v>1</v>
      </c>
    </row>
    <row r="11" spans="1:5" x14ac:dyDescent="0.25">
      <c r="A11" s="1" t="s">
        <v>9</v>
      </c>
      <c r="C11" s="1">
        <v>1</v>
      </c>
    </row>
    <row r="12" spans="1:5" x14ac:dyDescent="0.25">
      <c r="A12" s="1" t="s">
        <v>10</v>
      </c>
      <c r="B12" s="1">
        <v>1</v>
      </c>
    </row>
    <row r="13" spans="1:5" x14ac:dyDescent="0.25">
      <c r="A13" s="1" t="s">
        <v>11</v>
      </c>
      <c r="C13" s="1">
        <v>1</v>
      </c>
    </row>
    <row r="14" spans="1:5" x14ac:dyDescent="0.25">
      <c r="A14" s="1" t="s">
        <v>12</v>
      </c>
      <c r="C14" s="1">
        <v>1</v>
      </c>
    </row>
    <row r="15" spans="1:5" x14ac:dyDescent="0.25">
      <c r="A15" s="1" t="s">
        <v>13</v>
      </c>
      <c r="B15" s="1">
        <v>1</v>
      </c>
    </row>
    <row r="16" spans="1:5" x14ac:dyDescent="0.25">
      <c r="A16" s="1" t="s">
        <v>14</v>
      </c>
      <c r="C16" s="1">
        <v>1</v>
      </c>
    </row>
    <row r="17" spans="1:4" x14ac:dyDescent="0.25">
      <c r="A17" s="1" t="s">
        <v>15</v>
      </c>
      <c r="C17" s="1">
        <v>1</v>
      </c>
    </row>
    <row r="18" spans="1:4" x14ac:dyDescent="0.25">
      <c r="A18" s="1" t="s">
        <v>16</v>
      </c>
      <c r="C18" s="1">
        <v>1</v>
      </c>
    </row>
    <row r="19" spans="1:4" x14ac:dyDescent="0.25">
      <c r="A19" s="1" t="s">
        <v>159</v>
      </c>
      <c r="B19" s="1">
        <v>1</v>
      </c>
    </row>
    <row r="20" spans="1:4" x14ac:dyDescent="0.25">
      <c r="A20" s="1" t="s">
        <v>17</v>
      </c>
      <c r="B20" s="1">
        <v>1</v>
      </c>
    </row>
    <row r="21" spans="1:4" x14ac:dyDescent="0.25">
      <c r="A21" s="1" t="s">
        <v>18</v>
      </c>
      <c r="B21" s="1">
        <v>1</v>
      </c>
    </row>
    <row r="22" spans="1:4" x14ac:dyDescent="0.25">
      <c r="A22" s="1" t="s">
        <v>19</v>
      </c>
      <c r="B22" s="1">
        <v>1</v>
      </c>
    </row>
    <row r="23" spans="1:4" x14ac:dyDescent="0.25">
      <c r="A23" s="1" t="s">
        <v>20</v>
      </c>
      <c r="B23" s="1">
        <v>1</v>
      </c>
    </row>
    <row r="24" spans="1:4" x14ac:dyDescent="0.25">
      <c r="A24" s="1" t="s">
        <v>21</v>
      </c>
      <c r="B24" s="1">
        <v>1</v>
      </c>
    </row>
    <row r="25" spans="1:4" x14ac:dyDescent="0.25">
      <c r="A25" s="1" t="s">
        <v>22</v>
      </c>
      <c r="C25" s="1">
        <v>1</v>
      </c>
    </row>
    <row r="26" spans="1:4" x14ac:dyDescent="0.25">
      <c r="A26" s="1" t="s">
        <v>23</v>
      </c>
      <c r="B26" s="1">
        <v>1</v>
      </c>
    </row>
    <row r="27" spans="1:4" x14ac:dyDescent="0.25">
      <c r="A27" s="1" t="s">
        <v>24</v>
      </c>
      <c r="B27" s="1">
        <v>1</v>
      </c>
    </row>
    <row r="28" spans="1:4" x14ac:dyDescent="0.25">
      <c r="A28" s="1" t="s">
        <v>25</v>
      </c>
      <c r="D28" s="1">
        <v>1</v>
      </c>
    </row>
    <row r="29" spans="1:4" x14ac:dyDescent="0.25">
      <c r="A29" s="1" t="s">
        <v>27</v>
      </c>
      <c r="D29" s="1">
        <v>1</v>
      </c>
    </row>
    <row r="30" spans="1:4" x14ac:dyDescent="0.25">
      <c r="A30" s="1" t="s">
        <v>26</v>
      </c>
      <c r="C30" s="1">
        <v>1</v>
      </c>
    </row>
    <row r="31" spans="1:4" x14ac:dyDescent="0.25">
      <c r="A31" s="1" t="s">
        <v>28</v>
      </c>
      <c r="B31" s="1">
        <v>1</v>
      </c>
    </row>
    <row r="32" spans="1:4" x14ac:dyDescent="0.25">
      <c r="A32" s="1" t="s">
        <v>29</v>
      </c>
      <c r="C32" s="1">
        <v>1</v>
      </c>
    </row>
    <row r="33" spans="1:4" x14ac:dyDescent="0.25">
      <c r="A33" s="1" t="s">
        <v>30</v>
      </c>
      <c r="B33" s="1">
        <v>1</v>
      </c>
    </row>
    <row r="34" spans="1:4" x14ac:dyDescent="0.25">
      <c r="A34" s="1" t="s">
        <v>31</v>
      </c>
      <c r="D34" s="1">
        <v>1</v>
      </c>
    </row>
    <row r="35" spans="1:4" x14ac:dyDescent="0.25">
      <c r="A35" s="1" t="s">
        <v>32</v>
      </c>
      <c r="C35" s="1">
        <v>1</v>
      </c>
    </row>
    <row r="36" spans="1:4" x14ac:dyDescent="0.25">
      <c r="A36" s="1" t="s">
        <v>33</v>
      </c>
      <c r="B36" s="1">
        <v>1</v>
      </c>
    </row>
    <row r="37" spans="1:4" x14ac:dyDescent="0.25">
      <c r="A37" s="1" t="s">
        <v>34</v>
      </c>
      <c r="B37" s="1">
        <v>1</v>
      </c>
    </row>
    <row r="38" spans="1:4" x14ac:dyDescent="0.25">
      <c r="A38" s="1" t="s">
        <v>35</v>
      </c>
      <c r="B38" s="1">
        <v>1</v>
      </c>
    </row>
    <row r="39" spans="1:4" x14ac:dyDescent="0.25">
      <c r="A39" s="1" t="s">
        <v>36</v>
      </c>
      <c r="B39" s="1">
        <v>1</v>
      </c>
    </row>
    <row r="40" spans="1:4" x14ac:dyDescent="0.25">
      <c r="A40" s="1" t="s">
        <v>37</v>
      </c>
      <c r="C40" s="1">
        <v>1</v>
      </c>
    </row>
    <row r="41" spans="1:4" x14ac:dyDescent="0.25">
      <c r="A41" s="1" t="s">
        <v>38</v>
      </c>
      <c r="C41" s="1">
        <v>1</v>
      </c>
    </row>
    <row r="42" spans="1:4" x14ac:dyDescent="0.25">
      <c r="A42" s="1" t="s">
        <v>39</v>
      </c>
      <c r="C42" s="1">
        <v>1</v>
      </c>
    </row>
    <row r="43" spans="1:4" x14ac:dyDescent="0.25">
      <c r="A43" s="1" t="s">
        <v>40</v>
      </c>
      <c r="B43" s="1">
        <v>1</v>
      </c>
    </row>
    <row r="44" spans="1:4" x14ac:dyDescent="0.25">
      <c r="A44" s="1" t="s">
        <v>41</v>
      </c>
      <c r="D44" s="1">
        <v>1</v>
      </c>
    </row>
    <row r="45" spans="1:4" x14ac:dyDescent="0.25">
      <c r="A45" s="1" t="s">
        <v>42</v>
      </c>
      <c r="C45" s="1">
        <v>1</v>
      </c>
    </row>
    <row r="46" spans="1:4" x14ac:dyDescent="0.25">
      <c r="A46" s="1" t="s">
        <v>43</v>
      </c>
      <c r="B46" s="1">
        <v>1</v>
      </c>
    </row>
    <row r="47" spans="1:4" x14ac:dyDescent="0.25">
      <c r="A47" s="1" t="s">
        <v>44</v>
      </c>
      <c r="D47" s="1">
        <v>1</v>
      </c>
    </row>
    <row r="48" spans="1:4" x14ac:dyDescent="0.25">
      <c r="A48" s="1" t="s">
        <v>45</v>
      </c>
      <c r="C48" s="1">
        <v>1</v>
      </c>
    </row>
    <row r="49" spans="1:4" x14ac:dyDescent="0.25">
      <c r="A49" s="1" t="s">
        <v>46</v>
      </c>
      <c r="C49" s="1">
        <v>1</v>
      </c>
    </row>
    <row r="50" spans="1:4" x14ac:dyDescent="0.25">
      <c r="A50" s="1" t="s">
        <v>47</v>
      </c>
      <c r="C50" s="1">
        <v>1</v>
      </c>
    </row>
    <row r="51" spans="1:4" x14ac:dyDescent="0.25">
      <c r="A51" s="1" t="s">
        <v>48</v>
      </c>
      <c r="C51" s="1">
        <v>1</v>
      </c>
    </row>
    <row r="52" spans="1:4" x14ac:dyDescent="0.25">
      <c r="A52" s="1" t="s">
        <v>49</v>
      </c>
      <c r="C52" s="1">
        <v>1</v>
      </c>
    </row>
    <row r="53" spans="1:4" x14ac:dyDescent="0.25">
      <c r="A53" s="1" t="s">
        <v>50</v>
      </c>
      <c r="C53" s="1">
        <v>1</v>
      </c>
    </row>
    <row r="54" spans="1:4" x14ac:dyDescent="0.25">
      <c r="A54" s="1" t="s">
        <v>51</v>
      </c>
      <c r="D54" s="1">
        <v>1</v>
      </c>
    </row>
    <row r="55" spans="1:4" x14ac:dyDescent="0.25">
      <c r="A55" s="1" t="s">
        <v>52</v>
      </c>
      <c r="C55" s="1">
        <v>1</v>
      </c>
    </row>
    <row r="56" spans="1:4" x14ac:dyDescent="0.25">
      <c r="A56" s="1" t="s">
        <v>53</v>
      </c>
      <c r="B56" s="1">
        <v>1</v>
      </c>
    </row>
    <row r="57" spans="1:4" x14ac:dyDescent="0.25">
      <c r="A57" s="1" t="s">
        <v>54</v>
      </c>
      <c r="D57" s="1">
        <v>1</v>
      </c>
    </row>
    <row r="58" spans="1:4" x14ac:dyDescent="0.25">
      <c r="A58" s="1" t="s">
        <v>55</v>
      </c>
      <c r="C58" s="1">
        <v>1</v>
      </c>
    </row>
    <row r="59" spans="1:4" x14ac:dyDescent="0.25">
      <c r="A59" s="1" t="s">
        <v>56</v>
      </c>
      <c r="B59" s="1">
        <v>1</v>
      </c>
    </row>
    <row r="60" spans="1:4" x14ac:dyDescent="0.25">
      <c r="A60" s="1" t="s">
        <v>57</v>
      </c>
      <c r="C60" s="1">
        <v>1</v>
      </c>
    </row>
    <row r="61" spans="1:4" x14ac:dyDescent="0.25">
      <c r="A61" s="1" t="s">
        <v>58</v>
      </c>
      <c r="B61" s="1">
        <v>1</v>
      </c>
    </row>
    <row r="62" spans="1:4" x14ac:dyDescent="0.25">
      <c r="A62" s="1" t="s">
        <v>59</v>
      </c>
      <c r="B62" s="1">
        <v>1</v>
      </c>
    </row>
    <row r="63" spans="1:4" x14ac:dyDescent="0.25">
      <c r="A63" s="1" t="s">
        <v>60</v>
      </c>
      <c r="B63" s="1">
        <v>1</v>
      </c>
    </row>
    <row r="64" spans="1:4" x14ac:dyDescent="0.25">
      <c r="A64" s="1" t="s">
        <v>61</v>
      </c>
      <c r="B64" s="1">
        <v>1</v>
      </c>
    </row>
    <row r="65" spans="1:5" x14ac:dyDescent="0.25">
      <c r="A65" s="1" t="s">
        <v>62</v>
      </c>
      <c r="B65" s="1">
        <v>1</v>
      </c>
    </row>
    <row r="66" spans="1:5" x14ac:dyDescent="0.25">
      <c r="A66" s="1" t="s">
        <v>63</v>
      </c>
      <c r="C66" s="1">
        <v>1</v>
      </c>
    </row>
    <row r="67" spans="1:5" x14ac:dyDescent="0.25">
      <c r="A67" s="1" t="s">
        <v>64</v>
      </c>
      <c r="C67" s="1">
        <v>1</v>
      </c>
    </row>
    <row r="68" spans="1:5" x14ac:dyDescent="0.25">
      <c r="A68" s="1" t="s">
        <v>65</v>
      </c>
      <c r="C68" s="1">
        <v>1</v>
      </c>
    </row>
    <row r="69" spans="1:5" x14ac:dyDescent="0.25">
      <c r="A69" s="1" t="s">
        <v>66</v>
      </c>
      <c r="C69" s="1">
        <v>1</v>
      </c>
    </row>
    <row r="70" spans="1:5" x14ac:dyDescent="0.25">
      <c r="A70" s="1" t="s">
        <v>67</v>
      </c>
      <c r="C70" s="1">
        <v>1</v>
      </c>
    </row>
    <row r="71" spans="1:5" x14ac:dyDescent="0.25">
      <c r="A71" s="1" t="s">
        <v>68</v>
      </c>
      <c r="C71" s="1">
        <v>1</v>
      </c>
    </row>
    <row r="72" spans="1:5" x14ac:dyDescent="0.25">
      <c r="A72" s="1" t="s">
        <v>69</v>
      </c>
      <c r="C72" s="1">
        <v>1</v>
      </c>
    </row>
    <row r="73" spans="1:5" x14ac:dyDescent="0.25">
      <c r="A73" s="1" t="s">
        <v>70</v>
      </c>
      <c r="B73" s="1">
        <v>1</v>
      </c>
    </row>
    <row r="74" spans="1:5" x14ac:dyDescent="0.25">
      <c r="A74" s="1" t="s">
        <v>160</v>
      </c>
      <c r="E74" s="1">
        <v>1</v>
      </c>
    </row>
    <row r="75" spans="1:5" x14ac:dyDescent="0.25">
      <c r="A75" s="1" t="s">
        <v>71</v>
      </c>
      <c r="B75" s="1">
        <v>1</v>
      </c>
    </row>
    <row r="76" spans="1:5" x14ac:dyDescent="0.25">
      <c r="A76" s="1" t="s">
        <v>161</v>
      </c>
      <c r="C76" s="1">
        <v>1</v>
      </c>
    </row>
    <row r="77" spans="1:5" x14ac:dyDescent="0.25">
      <c r="A77" s="1" t="s">
        <v>72</v>
      </c>
      <c r="D77" s="1">
        <v>1</v>
      </c>
    </row>
    <row r="78" spans="1:5" x14ac:dyDescent="0.25">
      <c r="A78" s="1" t="s">
        <v>73</v>
      </c>
      <c r="D78" s="1">
        <v>1</v>
      </c>
    </row>
    <row r="79" spans="1:5" x14ac:dyDescent="0.25">
      <c r="A79" s="1" t="s">
        <v>74</v>
      </c>
      <c r="B79" s="1">
        <v>1</v>
      </c>
    </row>
    <row r="80" spans="1:5" x14ac:dyDescent="0.25">
      <c r="A80" s="1" t="s">
        <v>75</v>
      </c>
      <c r="D80" s="1">
        <v>1</v>
      </c>
    </row>
    <row r="81" spans="1:5" x14ac:dyDescent="0.25">
      <c r="A81" s="1" t="s">
        <v>76</v>
      </c>
      <c r="B81" s="1">
        <v>1</v>
      </c>
    </row>
    <row r="82" spans="1:5" x14ac:dyDescent="0.25">
      <c r="A82" s="1" t="s">
        <v>77</v>
      </c>
      <c r="C82" s="1">
        <v>1</v>
      </c>
    </row>
    <row r="83" spans="1:5" x14ac:dyDescent="0.25">
      <c r="A83" s="1" t="s">
        <v>78</v>
      </c>
      <c r="D83" s="1">
        <v>1</v>
      </c>
    </row>
    <row r="84" spans="1:5" x14ac:dyDescent="0.25">
      <c r="A84" s="1" t="s">
        <v>79</v>
      </c>
      <c r="D84" s="1">
        <v>1</v>
      </c>
    </row>
    <row r="85" spans="1:5" x14ac:dyDescent="0.25">
      <c r="A85" s="1" t="s">
        <v>80</v>
      </c>
      <c r="C85" s="1">
        <v>1</v>
      </c>
    </row>
    <row r="86" spans="1:5" x14ac:dyDescent="0.25">
      <c r="A86" s="1" t="s">
        <v>81</v>
      </c>
      <c r="E86" s="1">
        <v>1</v>
      </c>
    </row>
    <row r="87" spans="1:5" x14ac:dyDescent="0.25">
      <c r="A87" s="1" t="s">
        <v>82</v>
      </c>
      <c r="D87" s="1">
        <v>1</v>
      </c>
    </row>
    <row r="88" spans="1:5" x14ac:dyDescent="0.25">
      <c r="A88" s="1" t="s">
        <v>83</v>
      </c>
      <c r="C88" s="1">
        <v>1</v>
      </c>
    </row>
    <row r="89" spans="1:5" x14ac:dyDescent="0.25">
      <c r="A89" s="1" t="s">
        <v>162</v>
      </c>
      <c r="C89" s="1">
        <v>1</v>
      </c>
    </row>
    <row r="90" spans="1:5" x14ac:dyDescent="0.25">
      <c r="A90" s="1" t="s">
        <v>84</v>
      </c>
      <c r="D90" s="1">
        <v>1</v>
      </c>
    </row>
    <row r="91" spans="1:5" x14ac:dyDescent="0.25">
      <c r="A91" s="1" t="s">
        <v>86</v>
      </c>
      <c r="B91" s="1">
        <v>1</v>
      </c>
    </row>
    <row r="92" spans="1:5" x14ac:dyDescent="0.25">
      <c r="A92" s="1" t="s">
        <v>85</v>
      </c>
      <c r="B92" s="1">
        <v>1</v>
      </c>
    </row>
    <row r="93" spans="1:5" x14ac:dyDescent="0.25">
      <c r="A93" s="1" t="s">
        <v>87</v>
      </c>
      <c r="E93" s="1">
        <v>1</v>
      </c>
    </row>
    <row r="94" spans="1:5" x14ac:dyDescent="0.25">
      <c r="A94" s="1" t="s">
        <v>89</v>
      </c>
      <c r="C94" s="1">
        <v>1</v>
      </c>
    </row>
    <row r="95" spans="1:5" x14ac:dyDescent="0.25">
      <c r="A95" s="1" t="s">
        <v>90</v>
      </c>
      <c r="C95" s="1">
        <v>1</v>
      </c>
    </row>
    <row r="96" spans="1:5" x14ac:dyDescent="0.25">
      <c r="A96" s="1" t="s">
        <v>163</v>
      </c>
      <c r="D96" s="1">
        <v>1</v>
      </c>
    </row>
    <row r="97" spans="1:5" x14ac:dyDescent="0.25">
      <c r="A97" s="1" t="s">
        <v>88</v>
      </c>
      <c r="B97" s="1">
        <v>1</v>
      </c>
    </row>
    <row r="98" spans="1:5" x14ac:dyDescent="0.25">
      <c r="A98" s="1" t="s">
        <v>96</v>
      </c>
      <c r="D98" s="1">
        <v>1</v>
      </c>
    </row>
    <row r="99" spans="1:5" x14ac:dyDescent="0.25">
      <c r="A99" s="1" t="s">
        <v>91</v>
      </c>
      <c r="C99" s="1">
        <v>1</v>
      </c>
    </row>
    <row r="100" spans="1:5" x14ac:dyDescent="0.25">
      <c r="A100" s="1" t="s">
        <v>92</v>
      </c>
      <c r="C100" s="1">
        <v>1</v>
      </c>
    </row>
    <row r="101" spans="1:5" x14ac:dyDescent="0.25">
      <c r="A101" s="1" t="s">
        <v>93</v>
      </c>
      <c r="B101" s="1">
        <v>1</v>
      </c>
    </row>
    <row r="102" spans="1:5" x14ac:dyDescent="0.25">
      <c r="A102" s="1" t="s">
        <v>94</v>
      </c>
      <c r="B102" s="1">
        <v>1</v>
      </c>
    </row>
    <row r="103" spans="1:5" x14ac:dyDescent="0.25">
      <c r="A103" s="1" t="s">
        <v>95</v>
      </c>
      <c r="B103" s="1">
        <v>1</v>
      </c>
    </row>
    <row r="104" spans="1:5" x14ac:dyDescent="0.25">
      <c r="A104" s="1" t="s">
        <v>97</v>
      </c>
      <c r="B104" s="1">
        <v>1</v>
      </c>
    </row>
    <row r="105" spans="1:5" x14ac:dyDescent="0.25">
      <c r="A105" s="1" t="s">
        <v>144</v>
      </c>
      <c r="E105" s="1">
        <v>1</v>
      </c>
    </row>
    <row r="106" spans="1:5" x14ac:dyDescent="0.25">
      <c r="A106" s="1" t="s">
        <v>98</v>
      </c>
      <c r="C106" s="1">
        <v>1</v>
      </c>
    </row>
    <row r="107" spans="1:5" x14ac:dyDescent="0.25">
      <c r="A107" s="1" t="s">
        <v>99</v>
      </c>
      <c r="C107" s="1">
        <v>1</v>
      </c>
    </row>
    <row r="108" spans="1:5" x14ac:dyDescent="0.25">
      <c r="A108" s="1" t="s">
        <v>100</v>
      </c>
      <c r="B108" s="1">
        <v>1</v>
      </c>
    </row>
    <row r="109" spans="1:5" x14ac:dyDescent="0.25">
      <c r="A109" s="1" t="s">
        <v>101</v>
      </c>
      <c r="B109" s="1">
        <v>1</v>
      </c>
    </row>
    <row r="110" spans="1:5" x14ac:dyDescent="0.25">
      <c r="A110" s="1" t="s">
        <v>102</v>
      </c>
      <c r="C110" s="1">
        <v>1</v>
      </c>
    </row>
    <row r="111" spans="1:5" x14ac:dyDescent="0.25">
      <c r="A111" s="1" t="s">
        <v>103</v>
      </c>
      <c r="B111" s="1">
        <v>1</v>
      </c>
    </row>
    <row r="112" spans="1:5" x14ac:dyDescent="0.25">
      <c r="A112" s="1" t="s">
        <v>104</v>
      </c>
      <c r="C112" s="1">
        <v>1</v>
      </c>
    </row>
    <row r="113" spans="1:5" x14ac:dyDescent="0.25">
      <c r="A113" s="1" t="s">
        <v>164</v>
      </c>
      <c r="E113" s="1">
        <v>1</v>
      </c>
    </row>
    <row r="114" spans="1:5" x14ac:dyDescent="0.25">
      <c r="A114" s="1" t="s">
        <v>105</v>
      </c>
      <c r="E114" s="1">
        <v>1</v>
      </c>
    </row>
    <row r="115" spans="1:5" x14ac:dyDescent="0.25">
      <c r="A115" s="1" t="s">
        <v>106</v>
      </c>
      <c r="B115" s="1">
        <v>1</v>
      </c>
    </row>
    <row r="116" spans="1:5" x14ac:dyDescent="0.25">
      <c r="A116" s="1" t="s">
        <v>107</v>
      </c>
      <c r="B116" s="1">
        <v>1</v>
      </c>
    </row>
    <row r="117" spans="1:5" x14ac:dyDescent="0.25">
      <c r="A117" s="1" t="s">
        <v>108</v>
      </c>
      <c r="B117" s="1">
        <v>1</v>
      </c>
    </row>
    <row r="118" spans="1:5" x14ac:dyDescent="0.25">
      <c r="A118" s="1" t="s">
        <v>109</v>
      </c>
      <c r="B118" s="1">
        <v>1</v>
      </c>
    </row>
    <row r="119" spans="1:5" x14ac:dyDescent="0.25">
      <c r="A119" s="1" t="s">
        <v>114</v>
      </c>
      <c r="C119" s="1">
        <v>1</v>
      </c>
    </row>
    <row r="120" spans="1:5" x14ac:dyDescent="0.25">
      <c r="A120" s="1" t="s">
        <v>110</v>
      </c>
      <c r="D120" s="1">
        <v>1</v>
      </c>
    </row>
    <row r="121" spans="1:5" x14ac:dyDescent="0.25">
      <c r="A121" s="1" t="s">
        <v>111</v>
      </c>
      <c r="C121" s="1">
        <v>1</v>
      </c>
    </row>
    <row r="122" spans="1:5" x14ac:dyDescent="0.25">
      <c r="A122" s="1" t="s">
        <v>112</v>
      </c>
      <c r="C122" s="1">
        <v>1</v>
      </c>
    </row>
    <row r="123" spans="1:5" x14ac:dyDescent="0.25">
      <c r="A123" s="1" t="s">
        <v>113</v>
      </c>
      <c r="C123" s="1">
        <v>1</v>
      </c>
    </row>
    <row r="124" spans="1:5" x14ac:dyDescent="0.25">
      <c r="A124" s="1" t="s">
        <v>115</v>
      </c>
      <c r="B124" s="1">
        <v>1</v>
      </c>
    </row>
    <row r="125" spans="1:5" x14ac:dyDescent="0.25">
      <c r="A125" s="1" t="s">
        <v>116</v>
      </c>
      <c r="B125" s="1">
        <v>1</v>
      </c>
    </row>
    <row r="126" spans="1:5" x14ac:dyDescent="0.25">
      <c r="A126" s="1" t="s">
        <v>117</v>
      </c>
      <c r="C126" s="1">
        <v>1</v>
      </c>
    </row>
    <row r="127" spans="1:5" x14ac:dyDescent="0.25">
      <c r="A127" s="1" t="s">
        <v>118</v>
      </c>
      <c r="B127" s="1">
        <v>1</v>
      </c>
    </row>
    <row r="128" spans="1:5" x14ac:dyDescent="0.25">
      <c r="A128" s="1" t="s">
        <v>119</v>
      </c>
      <c r="C128" s="1">
        <v>1</v>
      </c>
    </row>
    <row r="129" spans="1:5" x14ac:dyDescent="0.25">
      <c r="A129" s="1" t="s">
        <v>120</v>
      </c>
      <c r="C129" s="1">
        <v>1</v>
      </c>
    </row>
    <row r="130" spans="1:5" x14ac:dyDescent="0.25">
      <c r="A130" s="1" t="s">
        <v>121</v>
      </c>
      <c r="C130" s="1">
        <v>1</v>
      </c>
    </row>
    <row r="131" spans="1:5" x14ac:dyDescent="0.25">
      <c r="A131" s="1" t="s">
        <v>122</v>
      </c>
      <c r="B131" s="1">
        <v>1</v>
      </c>
    </row>
    <row r="132" spans="1:5" x14ac:dyDescent="0.25">
      <c r="A132" s="1" t="s">
        <v>123</v>
      </c>
      <c r="B132" s="1">
        <v>1</v>
      </c>
    </row>
    <row r="133" spans="1:5" x14ac:dyDescent="0.25">
      <c r="A133" s="1" t="s">
        <v>124</v>
      </c>
      <c r="B133" s="1">
        <v>1</v>
      </c>
    </row>
    <row r="134" spans="1:5" x14ac:dyDescent="0.25">
      <c r="A134" s="1" t="s">
        <v>125</v>
      </c>
      <c r="D134" s="1">
        <v>1</v>
      </c>
    </row>
    <row r="135" spans="1:5" x14ac:dyDescent="0.25">
      <c r="A135" s="1" t="s">
        <v>126</v>
      </c>
      <c r="E135" s="1">
        <v>1</v>
      </c>
    </row>
    <row r="136" spans="1:5" x14ac:dyDescent="0.25">
      <c r="A136" s="1" t="s">
        <v>127</v>
      </c>
      <c r="C136" s="1">
        <v>1</v>
      </c>
    </row>
    <row r="137" spans="1:5" x14ac:dyDescent="0.25">
      <c r="A137" s="1" t="s">
        <v>128</v>
      </c>
      <c r="D137" s="1">
        <v>1</v>
      </c>
    </row>
    <row r="138" spans="1:5" x14ac:dyDescent="0.25">
      <c r="A138" s="1" t="s">
        <v>129</v>
      </c>
      <c r="B138" s="1">
        <v>1</v>
      </c>
    </row>
    <row r="139" spans="1:5" x14ac:dyDescent="0.25">
      <c r="A139" s="1" t="s">
        <v>130</v>
      </c>
      <c r="C139" s="1">
        <v>1</v>
      </c>
    </row>
    <row r="140" spans="1:5" x14ac:dyDescent="0.25">
      <c r="A140" s="1" t="s">
        <v>131</v>
      </c>
      <c r="B140" s="1">
        <v>1</v>
      </c>
    </row>
    <row r="141" spans="1:5" x14ac:dyDescent="0.25">
      <c r="A141" s="1" t="s">
        <v>132</v>
      </c>
      <c r="D141" s="1">
        <v>1</v>
      </c>
    </row>
    <row r="142" spans="1:5" x14ac:dyDescent="0.25">
      <c r="A142" s="1" t="s">
        <v>133</v>
      </c>
      <c r="C142" s="1">
        <v>1</v>
      </c>
    </row>
    <row r="143" spans="1:5" x14ac:dyDescent="0.25">
      <c r="A143" s="1" t="s">
        <v>134</v>
      </c>
      <c r="B143" s="1">
        <v>1</v>
      </c>
    </row>
    <row r="144" spans="1:5" x14ac:dyDescent="0.25">
      <c r="A144" s="1" t="s">
        <v>136</v>
      </c>
      <c r="E144" s="1">
        <v>1</v>
      </c>
    </row>
    <row r="145" spans="1:5" x14ac:dyDescent="0.25">
      <c r="A145" s="1" t="s">
        <v>135</v>
      </c>
      <c r="D145" s="1">
        <v>1</v>
      </c>
    </row>
    <row r="146" spans="1:5" x14ac:dyDescent="0.25">
      <c r="A146" s="1" t="s">
        <v>137</v>
      </c>
      <c r="C146" s="1">
        <v>1</v>
      </c>
    </row>
    <row r="147" spans="1:5" x14ac:dyDescent="0.25">
      <c r="A147" s="1" t="s">
        <v>138</v>
      </c>
      <c r="B147" s="1">
        <v>1</v>
      </c>
    </row>
    <row r="148" spans="1:5" x14ac:dyDescent="0.25">
      <c r="A148" s="1" t="s">
        <v>139</v>
      </c>
      <c r="D148" s="1">
        <v>1</v>
      </c>
    </row>
    <row r="149" spans="1:5" x14ac:dyDescent="0.25">
      <c r="A149" s="1" t="s">
        <v>140</v>
      </c>
      <c r="B149" s="1">
        <v>1</v>
      </c>
    </row>
    <row r="150" spans="1:5" x14ac:dyDescent="0.25">
      <c r="A150" s="1" t="s">
        <v>141</v>
      </c>
      <c r="B150" s="1">
        <v>1</v>
      </c>
    </row>
    <row r="151" spans="1:5" x14ac:dyDescent="0.25">
      <c r="A151" s="1" t="s">
        <v>142</v>
      </c>
      <c r="B151" s="1">
        <v>1</v>
      </c>
    </row>
    <row r="152" spans="1:5" x14ac:dyDescent="0.25">
      <c r="A152" s="1" t="s">
        <v>143</v>
      </c>
      <c r="C152" s="1">
        <v>1</v>
      </c>
    </row>
    <row r="153" spans="1:5" x14ac:dyDescent="0.25">
      <c r="A153" s="1" t="s">
        <v>149</v>
      </c>
      <c r="B153" s="1">
        <f>SUM(Tabelle7[1-geringfügig])</f>
        <v>58</v>
      </c>
      <c r="C153" s="1">
        <f>SUM(Tabelle7[2-mittel])</f>
        <v>60</v>
      </c>
      <c r="D153" s="1">
        <f>SUM(Tabelle7[3-stark])</f>
        <v>24</v>
      </c>
      <c r="E153" s="1">
        <f>SUM(Tabelle7[Klasse-4])</f>
        <v>9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5"/>
  <sheetViews>
    <sheetView workbookViewId="0">
      <selection activeCell="P16" sqref="P16"/>
    </sheetView>
  </sheetViews>
  <sheetFormatPr defaultColWidth="11.5546875" defaultRowHeight="13.8" x14ac:dyDescent="0.25"/>
  <cols>
    <col min="1" max="1" width="20.77734375" style="1" customWidth="1"/>
    <col min="2" max="2" width="14" style="1" customWidth="1"/>
    <col min="3" max="16384" width="11.5546875" style="1"/>
  </cols>
  <sheetData>
    <row r="2" spans="1:2" x14ac:dyDescent="0.25">
      <c r="A2" s="1" t="s">
        <v>0</v>
      </c>
      <c r="B2" s="1" t="s">
        <v>165</v>
      </c>
    </row>
    <row r="3" spans="1:2" x14ac:dyDescent="0.25">
      <c r="A3" s="1" t="s">
        <v>150</v>
      </c>
      <c r="B3" s="6">
        <v>44.161999999999999</v>
      </c>
    </row>
    <row r="4" spans="1:2" x14ac:dyDescent="0.25">
      <c r="A4" s="1" t="s">
        <v>151</v>
      </c>
      <c r="B4" s="6">
        <v>47.845999999999997</v>
      </c>
    </row>
    <row r="5" spans="1:2" x14ac:dyDescent="0.25">
      <c r="A5" s="1" t="s">
        <v>152</v>
      </c>
      <c r="B5" s="6">
        <v>19.62</v>
      </c>
    </row>
    <row r="6" spans="1:2" x14ac:dyDescent="0.25">
      <c r="A6" s="1" t="s">
        <v>149</v>
      </c>
      <c r="B6" s="7">
        <f>SUM(B3:B5)</f>
        <v>111.628</v>
      </c>
    </row>
    <row r="8" spans="1:2" x14ac:dyDescent="0.25">
      <c r="A8" s="1" t="s">
        <v>166</v>
      </c>
      <c r="B8" s="1" t="s">
        <v>165</v>
      </c>
    </row>
    <row r="9" spans="1:2" x14ac:dyDescent="0.25">
      <c r="A9" s="1" t="s">
        <v>150</v>
      </c>
      <c r="B9" s="7">
        <v>49.223599999999998</v>
      </c>
    </row>
    <row r="10" spans="1:2" x14ac:dyDescent="0.25">
      <c r="A10" s="1" t="s">
        <v>151</v>
      </c>
      <c r="B10" s="7">
        <v>41.718599999999995</v>
      </c>
    </row>
    <row r="11" spans="1:2" x14ac:dyDescent="0.25">
      <c r="A11" s="1" t="s">
        <v>152</v>
      </c>
      <c r="B11" s="7">
        <v>20.687200000000001</v>
      </c>
    </row>
    <row r="12" spans="1:2" x14ac:dyDescent="0.25">
      <c r="A12" s="1" t="s">
        <v>149</v>
      </c>
      <c r="B12" s="7">
        <f>SUM(B9:B11)</f>
        <v>111.62939999999999</v>
      </c>
    </row>
    <row r="14" spans="1:2" x14ac:dyDescent="0.25">
      <c r="A14" s="1" t="s">
        <v>167</v>
      </c>
      <c r="B14" s="1" t="s">
        <v>165</v>
      </c>
    </row>
    <row r="15" spans="1:2" x14ac:dyDescent="0.25">
      <c r="A15" s="1" t="s">
        <v>150</v>
      </c>
      <c r="B15" s="7">
        <v>42.451000000000001</v>
      </c>
    </row>
    <row r="16" spans="1:2" x14ac:dyDescent="0.25">
      <c r="A16" s="1" t="s">
        <v>151</v>
      </c>
      <c r="B16" s="7">
        <v>29.259</v>
      </c>
    </row>
    <row r="17" spans="1:2" x14ac:dyDescent="0.25">
      <c r="A17" s="1" t="s">
        <v>152</v>
      </c>
      <c r="B17" s="7">
        <v>39.917999999999999</v>
      </c>
    </row>
    <row r="18" spans="1:2" x14ac:dyDescent="0.25">
      <c r="A18" s="1" t="s">
        <v>149</v>
      </c>
      <c r="B18" s="7">
        <f>SUM(B15:B17)</f>
        <v>111.62800000000001</v>
      </c>
    </row>
    <row r="20" spans="1:2" x14ac:dyDescent="0.25">
      <c r="A20" s="1" t="s">
        <v>148</v>
      </c>
      <c r="B20" s="2" t="s">
        <v>165</v>
      </c>
    </row>
    <row r="21" spans="1:2" x14ac:dyDescent="0.25">
      <c r="A21" s="1" t="s">
        <v>150</v>
      </c>
      <c r="B21" s="6">
        <v>49.7</v>
      </c>
    </row>
    <row r="22" spans="1:2" x14ac:dyDescent="0.25">
      <c r="A22" s="1" t="s">
        <v>151</v>
      </c>
      <c r="B22" s="6">
        <v>37.975000000000001</v>
      </c>
    </row>
    <row r="23" spans="1:2" x14ac:dyDescent="0.25">
      <c r="A23" s="1" t="s">
        <v>152</v>
      </c>
      <c r="B23" s="6">
        <v>18.059999999999999</v>
      </c>
    </row>
    <row r="24" spans="1:2" x14ac:dyDescent="0.25">
      <c r="A24" s="1" t="s">
        <v>168</v>
      </c>
      <c r="B24" s="6">
        <v>5.8929999999999998</v>
      </c>
    </row>
    <row r="25" spans="1:2" x14ac:dyDescent="0.25">
      <c r="A25" s="1" t="s">
        <v>149</v>
      </c>
      <c r="B25" s="7">
        <f>SUM(B21:B24)</f>
        <v>111.62800000000001</v>
      </c>
    </row>
  </sheetData>
  <pageMargins left="0.7" right="0.7" top="0.78740157499999996" bottom="0.78740157499999996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Klassen</vt:lpstr>
      <vt:lpstr>Schwierigkeit</vt:lpstr>
      <vt:lpstr>MTB-Frequenz</vt:lpstr>
      <vt:lpstr>Fussgeher-Frequenz</vt:lpstr>
      <vt:lpstr>Gefahrenstellen</vt:lpstr>
      <vt:lpstr>Bodenerosion</vt:lpstr>
      <vt:lpstr>Weglängen nach Klasse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</dc:creator>
  <cp:lastModifiedBy>Kay Cichini</cp:lastModifiedBy>
  <dcterms:created xsi:type="dcterms:W3CDTF">2020-09-26T14:18:30Z</dcterms:created>
  <dcterms:modified xsi:type="dcterms:W3CDTF">2026-07-03T08:17:25Z</dcterms:modified>
</cp:coreProperties>
</file>